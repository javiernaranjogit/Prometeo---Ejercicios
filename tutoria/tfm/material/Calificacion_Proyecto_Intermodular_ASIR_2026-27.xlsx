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Rúbrica (referencia)" sheetId="2" state="visible" r:id="rId4"/>
    <sheet name="Calificación por ítem" sheetId="3" state="visible" r:id="rId5"/>
    <sheet name="Calificación oficial (R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<sst xmlns="http://schemas.openxmlformats.org/spreadsheetml/2006/main" count="111" uniqueCount="104">
  <si>
    <t xml:space="preserve">Calificación del Proyecto Intermodular — Administración de Sistemas Informáticos en Red (ASIR)</t>
  </si>
  <si>
    <t xml:space="preserve">Curso 2026-2027 · thePower FP</t>
  </si>
  <si>
    <t xml:space="preserve">1.</t>
  </si>
  <si>
    <t xml:space="preserve">Este libro permite al tutor/a de proyecto calificar el Proyecto Intermodular con dos instrumentos complementarios, coherentes con la programación didáctica del módulo.</t>
  </si>
  <si>
    <t xml:space="preserve">2.</t>
  </si>
  <si>
    <t xml:space="preserve">Pestaña «Rúbrica (referencia)»: los 11 ítems oficiales, su peso real (suman 100 %), el Resultado de Aprendizaje (RA) al que se asocia principalmente cada ítem, y los descriptores de los tres niveles de logro (Excelente / Aceptable / Insuficiente). Es solo de consulta.</t>
  </si>
  <si>
    <t xml:space="preserve">3.</t>
  </si>
  <si>
    <t xml:space="preserve">Pestaña «Calificación por ítem»: por cada alumno/a, escribe su nombre y selecciona en cada ítem el nivel obtenido (1 = Excelente, 0,5 = Aceptable, 0 = Insuficiente) con la lista desplegable. La nota sobre 10 se calcula sola, aplicando el peso real de cada ítem. Si concurre alguna causa de suspenso automático (ver Rúbrica), marca «Sí»: la nota se pone a 0 con independencia de la puntuación de la rúbrica.</t>
  </si>
  <si>
    <t xml:space="preserve">4.</t>
  </si>
  <si>
    <t xml:space="preserve">Pestaña «Calificación oficial (RA)»: para el acta y el boletín, introduce la nota (0-10) que corresponda a cada uno de los 5 RA, a partir de tu valoración global de la memoria y la defensa (apoyándote en la rúbrica anterior). El nombre del alumnado se rellena solo, tomado de la pestaña anterior. La nota final del módulo es la media de los 5 RA (20 % cada uno), redondeada al entero más cercano.</t>
  </si>
  <si>
    <t xml:space="preserve">5.</t>
  </si>
  <si>
    <t xml:space="preserve">Solo debes escribir en las celdas amarillas. El resto de celdas contienen fórmulas: no las modifiques. La primera fila de cada tabla es un ejemplo con datos ficticios: sustitýyela o bórrala antes de usar la hoja con tu grupo.</t>
  </si>
  <si>
    <t xml:space="preserve">Rúbrica de evaluación del tutor — Administración de Sistemas Informáticos en Red (ASIR)</t>
  </si>
  <si>
    <t xml:space="preserve">Ítem</t>
  </si>
  <si>
    <t xml:space="preserve">RA relacionado</t>
  </si>
  <si>
    <t xml:space="preserve">Peso</t>
  </si>
  <si>
    <t xml:space="preserve">Excelente (1,0)</t>
  </si>
  <si>
    <t xml:space="preserve">Aceptable (0,5)</t>
  </si>
  <si>
    <t xml:space="preserve">Insuficiente (0,0)</t>
  </si>
  <si>
    <t xml:space="preserve">Defensa y presentación</t>
  </si>
  <si>
    <t xml:space="preserve">RA5 (y RA1, criterio i)</t>
  </si>
  <si>
    <t xml:space="preserve">Memoria correctamente maquetada según el modelo. Diseño de la presentación adecuado (logo, imágenes, infografías, textos resumidos, número adecuado de diapositivas). Exposición clara, con contacto visual, no dependiente de la presentación, lenguaje adecuado y respetuoso, expresión corporal, respuestas claras y concretas. Puntualidad y ajuste al tiempo establecido.</t>
  </si>
  <si>
    <t xml:space="preserve">Algunos pequeños fallos de maquetación en la memoria. Falta algún material, foto o diagrama en la presentación. La presentación tiene pocas o demasiadas diapositivas que no aportan valor. Desviación inferior al 30 % del tiempo asignado. Se apoya demasiado en la presentación. No despierta interés en el proyecto o no contesta con precisión a las preguntas.</t>
  </si>
  <si>
    <t xml:space="preserve">La memoria no se ajusta al modelo. La presentación está desordenada o contiene faltas de ortografía; es incompleta o no refleja la realidad del proyecto. Se leen las diapositivas, no hay contacto visual, no se usa un lenguaje técnico o es poco respetuoso. No se contesta a las preguntas. No se llega puntual o con el material preparado, haciendo perder tiempo al tribunal, o se desvía más de un 30 % del tiempo asignado.</t>
  </si>
  <si>
    <t xml:space="preserve">Definición del proyecto</t>
  </si>
  <si>
    <t xml:space="preserve">RA1</t>
  </si>
  <si>
    <t xml:space="preserve">El proyecto está perfectamente definido y se percibe su alcance sin rodeos. Incluye versión en español y en inglés.</t>
  </si>
  <si>
    <t xml:space="preserve">El proyecto está definido, pero hay rodeos o no se describe el alcance completamente. Incluye versión en español y en inglés.</t>
  </si>
  <si>
    <t xml:space="preserve">El proyecto no está bien definido, contiene faltas de ortografía o no incluye la versión en inglés.</t>
  </si>
  <si>
    <t xml:space="preserve">Resumen y objetivos</t>
  </si>
  <si>
    <t xml:space="preserve">El resumen está perfectamente elaborado y se percibe el alcance del proyecto sin rodeos. Los objetivos son coherentes y están claramente identificados.</t>
  </si>
  <si>
    <t xml:space="preserve">El proyecto está resumido, pero hay rodeos o no se describen todos los objetivos completamente.</t>
  </si>
  <si>
    <t xml:space="preserve">El resumen no está bien elaborado, faltan objetivos o contiene faltas de ortografía.</t>
  </si>
  <si>
    <t xml:space="preserve">Antecedentes</t>
  </si>
  <si>
    <t xml:space="preserve">RA1 / RA2</t>
  </si>
  <si>
    <t xml:space="preserve">Existe una investigación razonable de soluciones o experiencias previas, aportando datos contrastables de dicha investigación.</t>
  </si>
  <si>
    <t xml:space="preserve">Existe una investigación razonable de soluciones previas, pero no se aportan datos contrastables de dicha investigación.</t>
  </si>
  <si>
    <t xml:space="preserve">No hay investigación, los datos aportados son subjetivos o el apartado contiene faltas de ortografía.</t>
  </si>
  <si>
    <t xml:space="preserve">Análisis y especificación de requisitos</t>
  </si>
  <si>
    <t xml:space="preserve">RA2</t>
  </si>
  <si>
    <t xml:space="preserve">Los requisitos están completamente desarrollados en tareas, agrupados coherentemente, con una estimación de tiempo o dificultad razonable.</t>
  </si>
  <si>
    <t xml:space="preserve">Los requisitos están desarrollados en tareas, pero no son suficientemente explicativos, tienen algún fallo de agrupación coherente, o la estimación de tiempo o dificultad no es razonable.</t>
  </si>
  <si>
    <t xml:space="preserve">Los requisitos no están desarrollados en tareas, no están agrupados coherentemente, o no existe una estimación de tiempo o dificultad.</t>
  </si>
  <si>
    <t xml:space="preserve">Propuesta de solución</t>
  </si>
  <si>
    <t xml:space="preserve">RA2 / RA3</t>
  </si>
  <si>
    <t xml:space="preserve">La solución está completamente descrita, también de forma gráfica, con un diseño profesional. Los recursos son adecuados al alcance del problema. El tamaño y nivel de complejidad son adecuados para un Proyecto Intermodular, con un nivel de detalle elevado que refleja una lógica de negocio real o un caso real.</t>
  </si>
  <si>
    <t xml:space="preserve">La solución está descrita de manera distinta al planteamiento del problema, con pequeños fallos en su representación gráfica. Los recursos no son adecuados o suficientes para el alcance del problema. La complejidad es media, repitiendo elementos ya trabajados durante el curso.</t>
  </si>
  <si>
    <t xml:space="preserve">La solución no está bien descrita, el apoyo gráfico no existe o tiene fallos evidentes de diseño. Los recursos no se corresponden con una solución razonable del problema. La complejidad del trabajo es demasiado simple y no refleja un mínimo de horas de trabajo adecuado para un Proyecto Intermodular.</t>
  </si>
  <si>
    <t xml:space="preserve">Plan de trabajo</t>
  </si>
  <si>
    <t xml:space="preserve">RA3</t>
  </si>
  <si>
    <t xml:space="preserve">Presenta una planificación previa y otra planificación real, valorando las desviaciones entre ambas. El plan refleja claramente el desarrollo de los objetivos, tareas y pruebas, con tiempos razonablemente realistas.</t>
  </si>
  <si>
    <t xml:space="preserve">Falla alguno de los aspectos anteriores.</t>
  </si>
  <si>
    <t xml:space="preserve">No presenta planificación, esta no es realista o no se corresponde con los objetivos, tareas y pruebas. Contiene valoraciones de tiempos ficticias.</t>
  </si>
  <si>
    <t xml:space="preserve">Desarrollo de la solución</t>
  </si>
  <si>
    <t xml:space="preserve">La configuración, los scripts o los ficheros de despliegue siguen las normas de buenas prácticas. La solución está estructurada, se percibe la reutilización y calidad del desarrollo. No presenta incidencias no controladas. Se cumplen todos los objetivos. La infraestructura funciona, es escalable y real, y refleja y aprovecha la tecnología actual.</t>
  </si>
  <si>
    <t xml:space="preserve">Falla alguno de los aspectos anteriores. Falta control de errores o hay pequeños fallos mejorables en la validación de la configuración. El diseño tiene pequeños fallos, aunque es escalable y real, con alguna carencia tecnológica menor.</t>
  </si>
  <si>
    <t xml:space="preserve">No se logran los objetivos, la calidad del proyecto es muy pobre, no refleja tecnología real, o es una repetición de las prácticas del curso sin ofrecer novedad alguna. Está incompleto o contiene malas prácticas.</t>
  </si>
  <si>
    <t xml:space="preserve">Despliegue e instalación</t>
  </si>
  <si>
    <t xml:space="preserve">Se documenta y demuestra el proceso de despliegue de manera completa, incluyendo planes de contingencia y definición de requisitos mínimos.</t>
  </si>
  <si>
    <t xml:space="preserve">Se documenta con pequeños fallos y se demuestra el proceso de despliegue de manera razonable; no hay planes de contingencia o la definición de requisitos mínimos es excesiva.</t>
  </si>
  <si>
    <t xml:space="preserve">Se documenta con varios fallos o no se demuestra el proceso de despliegue de manera razonable; no hay planes de contingencia y la definición de requisitos mínimos no existe o es ficticia.</t>
  </si>
  <si>
    <t xml:space="preserve">Evolución y trabajo futuro</t>
  </si>
  <si>
    <t xml:space="preserve">Se describe completamente la evolución del proyecto y se plantean ampliaciones o trabajos futuros de manera realista, definiendo su alcance y valorando su coste.</t>
  </si>
  <si>
    <t xml:space="preserve">Existen pequeños fallos en la descripción de la evolución del proyecto; las ampliaciones o trabajos futuros no se describen de manera concreta, o no se define su alcance y coste.</t>
  </si>
  <si>
    <t xml:space="preserve">No se describe la evolución del proyecto ni se plantean ampliaciones o trabajos futuros, o estos son ficticios.</t>
  </si>
  <si>
    <t xml:space="preserve">Bibliografía</t>
  </si>
  <si>
    <t xml:space="preserve">Transversal (RA1-RA5)</t>
  </si>
  <si>
    <t xml:space="preserve">Es completa, describe claramente el recurso utilizado en cada apartado de la memoria y sigue las normas APA.</t>
  </si>
  <si>
    <t xml:space="preserve">Es razonablemente completa, pero no describe claramente cada recurso utilizado en cada apartado, o sigue las normas APA con algún fallo.</t>
  </si>
  <si>
    <t xml:space="preserve">No existe, es ficticia, o no sigue las normas APA.</t>
  </si>
  <si>
    <t xml:space="preserve">Causas de suspenso automático del proyecto</t>
  </si>
  <si>
    <t xml:space="preserve">• El alumno o alumna no es autor/a de un porcentaje significativo del proyecto.</t>
  </si>
  <si>
    <t xml:space="preserve">• No presenta las dos entregas parciales en las que se evidencia claramente la evolución del proyecto.</t>
  </si>
  <si>
    <t xml:space="preserve">• No contesta a las comunicaciones del tutor o no asiste a las tutorías establecidas.</t>
  </si>
  <si>
    <t xml:space="preserve">• No presenta la versión final del proyecto en el plazo y la forma establecidos.</t>
  </si>
  <si>
    <t xml:space="preserve">Calificación por ítem (rúbrica del tutor) — ASIR</t>
  </si>
  <si>
    <t xml:space="preserve">Peso del ítem →</t>
  </si>
  <si>
    <t xml:space="preserve">Nº</t>
  </si>
  <si>
    <t xml:space="preserve">Alumno/a</t>
  </si>
  <si>
    <t xml:space="preserve">Defensa y
presentación
(15 %)</t>
  </si>
  <si>
    <t xml:space="preserve">Definición del
proyecto (5 %)</t>
  </si>
  <si>
    <t xml:space="preserve">Resumen y
objetivos (8 %)</t>
  </si>
  <si>
    <t xml:space="preserve">Antecedentes
(4 %)</t>
  </si>
  <si>
    <t xml:space="preserve">Análisis y
requisitos (5 %)</t>
  </si>
  <si>
    <t xml:space="preserve">Propuesta de
solución (20 %)</t>
  </si>
  <si>
    <t xml:space="preserve">Plan de
trabajo (5 %)</t>
  </si>
  <si>
    <t xml:space="preserve">Desarrollo de
la solución (20 %)</t>
  </si>
  <si>
    <t xml:space="preserve">Despliegue e
instalación (10 %)</t>
  </si>
  <si>
    <t xml:space="preserve">Evolución y
trabajo futuro (3 %)</t>
  </si>
  <si>
    <t xml:space="preserve">Bibliografía
(5 %)</t>
  </si>
  <si>
    <t xml:space="preserve">¿Causa de
suspenso
automático?</t>
  </si>
  <si>
    <t xml:space="preserve">Nota rúbrica
(0-10)</t>
  </si>
  <si>
    <t xml:space="preserve">Resultado</t>
  </si>
  <si>
    <t xml:space="preserve">Alumno de ejemplo (sustituir o borrar)</t>
  </si>
  <si>
    <t xml:space="preserve">No</t>
  </si>
  <si>
    <t xml:space="preserve">Calificación oficial por Resultado de Aprendizaje — ASIR</t>
  </si>
  <si>
    <t xml:space="preserve">La nota de cada RA (0-10) refleja la valoración global de la memoria y la defensa, apoyada en la rúbrica del tutor de la hoja «Calificación por ítem». Los cinco RA ponderan el 20 % cada uno.</t>
  </si>
  <si>
    <t xml:space="preserve">RA1
(20 %)</t>
  </si>
  <si>
    <t xml:space="preserve">RA2
(20 %)</t>
  </si>
  <si>
    <t xml:space="preserve">RA3
(20 %)</t>
  </si>
  <si>
    <t xml:space="preserve">RA4
(20 %)</t>
  </si>
  <si>
    <t xml:space="preserve">RA5
(20 %)</t>
  </si>
  <si>
    <t xml:space="preserve">Nota media
(0-10)</t>
  </si>
  <si>
    <t xml:space="preserve">Nota final
módulo (entero)</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</si>
</sst>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11"/>
      <color rgb="FF1F4E79"/>
      <name val="Arial"/>
      <family val="0"/>
      <charset val="1"/>
    </font>
    <font>
      <b val="true"/>
      <sz val="10"/>
      <name val="Arial"/>
      <family val="0"/>
      <charset val="1"/>
    </font>
    <font>
      <sz val="10"/>
      <name val="Arial"/>
      <family val="0"/>
      <charset val="1"/>
    </font>
    <font>
      <b val="true"/>
      <sz val="10"/>
      <color rgb="FFFFFFFF"/>
      <name val="Arial"/>
      <family val="0"/>
      <charset val="1"/>
    </font>
    <font>
      <sz val="9"/>
      <name val="Arial"/>
      <family val="0"/>
      <charset val="1"/>
    </font>
    <font>
      <b val="true"/>
      <sz val="11"/>
      <color rgb="FF1F4E79"/>
      <name val="Arial"/>
      <family val="0"/>
      <charset val="1"/>
    </font>
    <font>
      <sz val="9.5"/>
      <name val="Arial"/>
      <family val="0"/>
      <charset val="1"/>
    </font>
    <font>
      <b val="true"/>
      <i val="true"/>
      <sz val="9"/>
      <name val="Arial"/>
      <family val="0"/>
      <charset val="1"/>
    </font>
    <font>
      <i val="true"/>
      <sz val="9"/>
      <name val="Arial"/>
      <family val="0"/>
      <charset val="1"/>
    </font>
    <font>
      <sz val="10"/>
      <color rgb="FF0000FF"/>
      <name val="Arial"/>
      <family val="0"/>
      <charset val="1"/>
    </font>
    <font>
      <i val="true"/>
      <sz val="9.5"/>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D9E2F3"/>
        <bgColor rgb="FFF2F2F2"/>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5" fontId="13" fillId="3" borderId="0" xfId="0" applyFont="true" applyBorder="fals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8" fontId="14" fillId="4"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0.5"/>
  </cols>
  <sheetData>
    <row r="1" customFormat="false" ht="17.35" hidden="false" customHeight="false" outlineLevel="0" collapsed="false">
      <c r="A1" s="1" t="s">
        <v>0</v>
      </c>
      <c r="B1" s="1"/>
    </row>
    <row r="2" customFormat="false" ht="15" hidden="false" customHeight="false" outlineLevel="0" collapsed="false">
      <c r="B2" s="2" t="s">
        <v>1</v>
      </c>
    </row>
    <row r="4" customFormat="false" ht="60" hidden="false" customHeight="true" outlineLevel="0" collapsed="false">
      <c r="A4" s="3" t="s">
        <v>2</v>
      </c>
      <c r="B4" s="4" t="s">
        <v>3</v>
      </c>
    </row>
    <row r="6" customFormat="false" ht="60" hidden="false" customHeight="true" outlineLevel="0" collapsed="false">
      <c r="A6" s="3" t="s">
        <v>4</v>
      </c>
      <c r="B6" s="4" t="s">
        <v>5</v>
      </c>
    </row>
    <row r="8" customFormat="false" ht="60" hidden="false" customHeight="true" outlineLevel="0" collapsed="false">
      <c r="A8" s="3" t="s">
        <v>6</v>
      </c>
      <c r="B8" s="4" t="s">
        <v>7</v>
      </c>
    </row>
    <row r="10" customFormat="false" ht="60" hidden="false" customHeight="true" outlineLevel="0" collapsed="false">
      <c r="A10" s="3" t="s">
        <v>8</v>
      </c>
      <c r="B10" s="4" t="s">
        <v>9</v>
      </c>
    </row>
    <row r="12" customFormat="false" ht="60" hidden="false" customHeight="true" outlineLevel="0" collapsed="false">
      <c r="A12" s="3" t="s">
        <v>10</v>
      </c>
      <c r="B12" s="4" t="s">
        <v>11</v>
      </c>
    </row>
  </sheetData>
  <mergeCells count="1">
    <mergeCell ref="A1:B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8"/>
    <col collapsed="false" customWidth="true" hidden="false" outlineLevel="0" max="5" min="4" style="0" width="32"/>
    <col collapsed="false" customWidth="true" hidden="false" outlineLevel="0" max="6" min="6" style="0" width="40.25"/>
  </cols>
  <sheetData>
    <row r="1" customFormat="false" ht="17.35" hidden="false" customHeight="false" outlineLevel="0" collapsed="false">
      <c r="A1" s="1" t="s">
        <v>12</v>
      </c>
      <c r="B1" s="1"/>
      <c r="C1" s="1"/>
      <c r="D1" s="1"/>
      <c r="E1" s="1"/>
      <c r="F1" s="1"/>
    </row>
    <row r="3" customFormat="false" ht="15" hidden="false" customHeight="false" outlineLevel="0" collapsed="false">
      <c r="A3" s="5" t="s">
        <v>13</v>
      </c>
      <c r="B3" s="5" t="s">
        <v>14</v>
      </c>
      <c r="C3" s="5" t="s">
        <v>15</v>
      </c>
      <c r="D3" s="5" t="s">
        <v>16</v>
      </c>
      <c r="E3" s="5" t="s">
        <v>17</v>
      </c>
      <c r="F3" s="5" t="s">
        <v>18</v>
      </c>
    </row>
    <row r="4" customFormat="false" ht="109.5" hidden="false" customHeight="true" outlineLevel="0" collapsed="false">
      <c r="A4" s="6" t="s">
        <v>19</v>
      </c>
      <c r="B4" s="7" t="s">
        <v>20</v>
      </c>
      <c r="C4" s="8" t="n">
        <v>0.15</v>
      </c>
      <c r="D4" s="9" t="s">
        <v>21</v>
      </c>
      <c r="E4" s="9" t="s">
        <v>22</v>
      </c>
      <c r="F4" s="9" t="s">
        <v>23</v>
      </c>
    </row>
    <row r="5" customFormat="false" ht="109.5" hidden="false" customHeight="true" outlineLevel="0" collapsed="false">
      <c r="A5" s="6" t="s">
        <v>24</v>
      </c>
      <c r="B5" s="7" t="s">
        <v>25</v>
      </c>
      <c r="C5" s="8" t="n">
        <v>0.05</v>
      </c>
      <c r="D5" s="9" t="s">
        <v>26</v>
      </c>
      <c r="E5" s="9" t="s">
        <v>27</v>
      </c>
      <c r="F5" s="9" t="s">
        <v>28</v>
      </c>
    </row>
    <row r="6" customFormat="false" ht="109.5" hidden="false" customHeight="true" outlineLevel="0" collapsed="false">
      <c r="A6" s="6" t="s">
        <v>29</v>
      </c>
      <c r="B6" s="7" t="s">
        <v>25</v>
      </c>
      <c r="C6" s="8" t="n">
        <v>0.08</v>
      </c>
      <c r="D6" s="9" t="s">
        <v>30</v>
      </c>
      <c r="E6" s="9" t="s">
        <v>31</v>
      </c>
      <c r="F6" s="9" t="s">
        <v>32</v>
      </c>
    </row>
    <row r="7" customFormat="false" ht="109.5" hidden="false" customHeight="true" outlineLevel="0" collapsed="false">
      <c r="A7" s="6" t="s">
        <v>33</v>
      </c>
      <c r="B7" s="7" t="s">
        <v>34</v>
      </c>
      <c r="C7" s="8" t="n">
        <v>0.04</v>
      </c>
      <c r="D7" s="9" t="s">
        <v>35</v>
      </c>
      <c r="E7" s="9" t="s">
        <v>36</v>
      </c>
      <c r="F7" s="9" t="s">
        <v>37</v>
      </c>
    </row>
    <row r="8" customFormat="false" ht="109.5" hidden="false" customHeight="true" outlineLevel="0" collapsed="false">
      <c r="A8" s="6" t="s">
        <v>38</v>
      </c>
      <c r="B8" s="7" t="s">
        <v>39</v>
      </c>
      <c r="C8" s="8" t="n">
        <v>0.05</v>
      </c>
      <c r="D8" s="9" t="s">
        <v>40</v>
      </c>
      <c r="E8" s="9" t="s">
        <v>41</v>
      </c>
      <c r="F8" s="9" t="s">
        <v>42</v>
      </c>
    </row>
    <row r="9" customFormat="false" ht="109.5" hidden="false" customHeight="true" outlineLevel="0" collapsed="false">
      <c r="A9" s="6" t="s">
        <v>43</v>
      </c>
      <c r="B9" s="7" t="s">
        <v>44</v>
      </c>
      <c r="C9" s="8" t="n">
        <v>0.2</v>
      </c>
      <c r="D9" s="9" t="s">
        <v>45</v>
      </c>
      <c r="E9" s="9" t="s">
        <v>46</v>
      </c>
      <c r="F9" s="9" t="s">
        <v>47</v>
      </c>
    </row>
    <row r="10" customFormat="false" ht="109.5" hidden="false" customHeight="true" outlineLevel="0" collapsed="false">
      <c r="A10" s="6" t="s">
        <v>48</v>
      </c>
      <c r="B10" s="7" t="s">
        <v>49</v>
      </c>
      <c r="C10" s="8" t="n">
        <v>0.05</v>
      </c>
      <c r="D10" s="9" t="s">
        <v>50</v>
      </c>
      <c r="E10" s="9" t="s">
        <v>51</v>
      </c>
      <c r="F10" s="9" t="s">
        <v>52</v>
      </c>
    </row>
    <row r="11" customFormat="false" ht="109.5" hidden="false" customHeight="true" outlineLevel="0" collapsed="false">
      <c r="A11" s="6" t="s">
        <v>53</v>
      </c>
      <c r="B11" s="7" t="s">
        <v>49</v>
      </c>
      <c r="C11" s="8" t="n">
        <v>0.2</v>
      </c>
      <c r="D11" s="9" t="s">
        <v>54</v>
      </c>
      <c r="E11" s="9" t="s">
        <v>55</v>
      </c>
      <c r="F11" s="9" t="s">
        <v>56</v>
      </c>
    </row>
    <row r="12" customFormat="false" ht="109.5" hidden="false" customHeight="true" outlineLevel="0" collapsed="false">
      <c r="A12" s="6" t="s">
        <v>57</v>
      </c>
      <c r="B12" s="7" t="s">
        <v>49</v>
      </c>
      <c r="C12" s="8" t="n">
        <v>0.1</v>
      </c>
      <c r="D12" s="9" t="s">
        <v>58</v>
      </c>
      <c r="E12" s="9" t="s">
        <v>59</v>
      </c>
      <c r="F12" s="9" t="s">
        <v>60</v>
      </c>
    </row>
    <row r="13" customFormat="false" ht="109.5" hidden="false" customHeight="true" outlineLevel="0" collapsed="false">
      <c r="A13" s="6" t="s">
        <v>61</v>
      </c>
      <c r="B13" s="7" t="s">
        <v>49</v>
      </c>
      <c r="C13" s="8" t="n">
        <v>0.03</v>
      </c>
      <c r="D13" s="9" t="s">
        <v>62</v>
      </c>
      <c r="E13" s="9" t="s">
        <v>63</v>
      </c>
      <c r="F13" s="9" t="s">
        <v>64</v>
      </c>
    </row>
    <row r="14" customFormat="false" ht="109.5" hidden="false" customHeight="true" outlineLevel="0" collapsed="false">
      <c r="A14" s="6" t="s">
        <v>65</v>
      </c>
      <c r="B14" s="7" t="s">
        <v>66</v>
      </c>
      <c r="C14" s="8" t="n">
        <v>0.05</v>
      </c>
      <c r="D14" s="9" t="s">
        <v>67</v>
      </c>
      <c r="E14" s="9" t="s">
        <v>68</v>
      </c>
      <c r="F14" s="9" t="s">
        <v>69</v>
      </c>
    </row>
    <row r="16" customFormat="false" ht="15" hidden="false" customHeight="false" outlineLevel="0" collapsed="false">
      <c r="A16" s="10" t="s">
        <v>70</v>
      </c>
    </row>
    <row r="17" customFormat="false" ht="25.5" hidden="false" customHeight="true" outlineLevel="0" collapsed="false">
      <c r="A17" s="11" t="s">
        <v>71</v>
      </c>
      <c r="B17" s="11"/>
      <c r="C17" s="11"/>
      <c r="D17" s="11"/>
      <c r="E17" s="11"/>
      <c r="F17" s="11"/>
    </row>
    <row r="18" customFormat="false" ht="25.5" hidden="false" customHeight="true" outlineLevel="0" collapsed="false">
      <c r="A18" s="11" t="s">
        <v>72</v>
      </c>
      <c r="B18" s="11"/>
      <c r="C18" s="11"/>
      <c r="D18" s="11"/>
      <c r="E18" s="11"/>
      <c r="F18" s="11"/>
    </row>
    <row r="19" customFormat="false" ht="25.5" hidden="false" customHeight="true" outlineLevel="0" collapsed="false">
      <c r="A19" s="11" t="s">
        <v>73</v>
      </c>
      <c r="B19" s="11"/>
      <c r="C19" s="11"/>
      <c r="D19" s="11"/>
      <c r="E19" s="11"/>
      <c r="F19" s="11"/>
    </row>
    <row r="20" customFormat="false" ht="25.5" hidden="false" customHeight="true" outlineLevel="0" collapsed="false">
      <c r="A20" s="11" t="s">
        <v>74</v>
      </c>
      <c r="B20" s="11"/>
      <c r="C20" s="11"/>
      <c r="D20" s="11"/>
      <c r="E20" s="11"/>
      <c r="F20" s="11"/>
    </row>
  </sheetData>
  <mergeCells count="5">
    <mergeCell ref="A1:F1"/>
    <mergeCell ref="A17:F17"/>
    <mergeCell ref="A18:F18"/>
    <mergeCell ref="A19:F19"/>
    <mergeCell ref="A20:F20"/>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13" min="3" style="0" width="13"/>
    <col collapsed="false" customWidth="true" hidden="false" outlineLevel="0" max="14" min="14" style="0" width="14"/>
    <col collapsed="false" customWidth="true" hidden="false" outlineLevel="0" max="15" min="15" style="0" width="13"/>
    <col collapsed="false" customWidth="true" hidden="false" outlineLevel="0" max="16" min="16" style="0" width="12"/>
  </cols>
  <sheetData>
    <row r="1" customFormat="false" ht="17.35" hidden="false" customHeight="false" outlineLevel="0" collapsed="false">
      <c r="A1" s="1" t="s">
        <v>75</v>
      </c>
      <c r="B1" s="1"/>
      <c r="C1" s="1"/>
      <c r="D1" s="1"/>
      <c r="E1" s="1"/>
      <c r="F1" s="1"/>
      <c r="G1" s="1"/>
      <c r="H1" s="1"/>
      <c r="I1" s="1"/>
      <c r="J1" s="1"/>
      <c r="K1" s="1"/>
      <c r="L1" s="1"/>
      <c r="M1" s="1"/>
      <c r="N1" s="1"/>
      <c r="O1" s="1"/>
      <c r="P1" s="1"/>
    </row>
    <row r="3" customFormat="false" ht="15" hidden="false" customHeight="false" outlineLevel="0" collapsed="false">
      <c r="B3" s="12" t="s">
        <v>76</v>
      </c>
      <c r="C3" s="13" t="n">
        <f aca="false">'Rúbrica (referencia)'!C4</f>
        <v>0.15</v>
      </c>
      <c r="D3" s="13" t="n">
        <f aca="false">'Rúbrica (referencia)'!C5</f>
        <v>0.05</v>
      </c>
      <c r="E3" s="13" t="n">
        <f aca="false">'Rúbrica (referencia)'!C6</f>
        <v>0.08</v>
      </c>
      <c r="F3" s="13" t="n">
        <f aca="false">'Rúbrica (referencia)'!C7</f>
        <v>0.04</v>
      </c>
      <c r="G3" s="13" t="n">
        <f aca="false">'Rúbrica (referencia)'!C8</f>
        <v>0.05</v>
      </c>
      <c r="H3" s="13" t="n">
        <f aca="false">'Rúbrica (referencia)'!C9</f>
        <v>0.2</v>
      </c>
      <c r="I3" s="13" t="n">
        <f aca="false">'Rúbrica (referencia)'!C10</f>
        <v>0.05</v>
      </c>
      <c r="J3" s="13" t="n">
        <f aca="false">'Rúbrica (referencia)'!C11</f>
        <v>0.2</v>
      </c>
      <c r="K3" s="13" t="n">
        <f aca="false">'Rúbrica (referencia)'!C12</f>
        <v>0.1</v>
      </c>
      <c r="L3" s="13" t="n">
        <f aca="false">'Rúbrica (referencia)'!C13</f>
        <v>0.03</v>
      </c>
      <c r="M3" s="13" t="n">
        <f aca="false">'Rúbrica (referencia)'!C14</f>
        <v>0.05</v>
      </c>
    </row>
    <row r="4" customFormat="false" ht="45.75" hidden="false" customHeight="true" outlineLevel="0" collapsed="false">
      <c r="A4" s="5" t="s">
        <v>77</v>
      </c>
      <c r="B4" s="5" t="s">
        <v>78</v>
      </c>
      <c r="C4" s="5" t="s">
        <v>79</v>
      </c>
      <c r="D4" s="5" t="s">
        <v>80</v>
      </c>
      <c r="E4" s="5" t="s">
        <v>81</v>
      </c>
      <c r="F4" s="5" t="s">
        <v>82</v>
      </c>
      <c r="G4" s="5" t="s">
        <v>83</v>
      </c>
      <c r="H4" s="5" t="s">
        <v>84</v>
      </c>
      <c r="I4" s="5" t="s">
        <v>85</v>
      </c>
      <c r="J4" s="5" t="s">
        <v>86</v>
      </c>
      <c r="K4" s="5" t="s">
        <v>87</v>
      </c>
      <c r="L4" s="5" t="s">
        <v>88</v>
      </c>
      <c r="M4" s="5" t="s">
        <v>89</v>
      </c>
      <c r="N4" s="5" t="s">
        <v>90</v>
      </c>
      <c r="O4" s="5" t="s">
        <v>91</v>
      </c>
      <c r="P4" s="5" t="s">
        <v>92</v>
      </c>
    </row>
    <row r="5" customFormat="false" ht="23.85" hidden="false" customHeight="false" outlineLevel="0" collapsed="false">
      <c r="A5" s="14" t="n">
        <f aca="false">IF($B5="","",ROW()-4)</f>
        <v>1</v>
      </c>
      <c r="B5" s="15" t="s">
        <v>93</v>
      </c>
      <c r="C5" s="15" t="n">
        <v>1</v>
      </c>
      <c r="D5" s="15" t="n">
        <v>1</v>
      </c>
      <c r="E5" s="15" t="n">
        <v>0.5</v>
      </c>
      <c r="F5" s="15" t="n">
        <v>1</v>
      </c>
      <c r="G5" s="15" t="n">
        <v>0.5</v>
      </c>
      <c r="H5" s="15" t="n">
        <v>1</v>
      </c>
      <c r="I5" s="15" t="n">
        <v>1</v>
      </c>
      <c r="J5" s="15" t="n">
        <v>0.5</v>
      </c>
      <c r="K5" s="15" t="n">
        <v>1</v>
      </c>
      <c r="L5" s="15" t="n">
        <v>1</v>
      </c>
      <c r="M5" s="15" t="n">
        <v>1</v>
      </c>
      <c r="N5" s="15" t="s">
        <v>94</v>
      </c>
      <c r="O5" s="16" t="n">
        <f aca="false">IF($B5="","",IF($N5="Sí",0,ROUND(SUMPRODUCT($C5:$M5,$C$3:$M$3)*10,2)))</f>
        <v>8.35</v>
      </c>
      <c r="P5" s="17" t="str">
        <f aca="false">IF($B5="","",IF($O5&gt;=5,"Apto","No apto"))</f>
        <v>Apto</v>
      </c>
    </row>
    <row r="6" customFormat="false" ht="15" hidden="false" customHeight="false" outlineLevel="0" collapsed="false">
      <c r="A6" s="14" t="str">
        <f aca="false">IF($B6="","",ROW()-4)</f>
        <v/>
      </c>
      <c r="B6" s="15"/>
      <c r="C6" s="15"/>
      <c r="D6" s="15"/>
      <c r="E6" s="15"/>
      <c r="F6" s="15"/>
      <c r="G6" s="15"/>
      <c r="H6" s="15"/>
      <c r="I6" s="15"/>
      <c r="J6" s="15"/>
      <c r="K6" s="15"/>
      <c r="L6" s="15"/>
      <c r="M6" s="15"/>
      <c r="N6" s="15"/>
      <c r="O6" s="16" t="str">
        <f aca="false">IF($B6="","",IF($N6="Sí",0,ROUND(SUMPRODUCT($C6:$M6,$C$3:$M$3)*10,2)))</f>
        <v/>
      </c>
      <c r="P6" s="17" t="str">
        <f aca="false">IF($B6="","",IF($O6&gt;=5,"Apto","No apto"))</f>
        <v/>
      </c>
    </row>
    <row r="7" customFormat="false" ht="15" hidden="false" customHeight="false" outlineLevel="0" collapsed="false">
      <c r="A7" s="14" t="str">
        <f aca="false">IF($B7="","",ROW()-4)</f>
        <v/>
      </c>
      <c r="B7" s="15"/>
      <c r="C7" s="15"/>
      <c r="D7" s="15"/>
      <c r="E7" s="15"/>
      <c r="F7" s="15"/>
      <c r="G7" s="15"/>
      <c r="H7" s="15"/>
      <c r="I7" s="15"/>
      <c r="J7" s="15"/>
      <c r="K7" s="15"/>
      <c r="L7" s="15"/>
      <c r="M7" s="15"/>
      <c r="N7" s="15"/>
      <c r="O7" s="16" t="str">
        <f aca="false">IF($B7="","",IF($N7="Sí",0,ROUND(SUMPRODUCT($C7:$M7,$C$3:$M$3)*10,2)))</f>
        <v/>
      </c>
      <c r="P7" s="17" t="str">
        <f aca="false">IF($B7="","",IF($O7&gt;=5,"Apto","No apto"))</f>
        <v/>
      </c>
    </row>
    <row r="8" customFormat="false" ht="15" hidden="false" customHeight="false" outlineLevel="0" collapsed="false">
      <c r="A8" s="14" t="str">
        <f aca="false">IF($B8="","",ROW()-4)</f>
        <v/>
      </c>
      <c r="B8" s="15"/>
      <c r="C8" s="15"/>
      <c r="D8" s="15"/>
      <c r="E8" s="15"/>
      <c r="F8" s="15"/>
      <c r="G8" s="15"/>
      <c r="H8" s="15"/>
      <c r="I8" s="15"/>
      <c r="J8" s="15"/>
      <c r="K8" s="15"/>
      <c r="L8" s="15"/>
      <c r="M8" s="15"/>
      <c r="N8" s="15"/>
      <c r="O8" s="16" t="str">
        <f aca="false">IF($B8="","",IF($N8="Sí",0,ROUND(SUMPRODUCT($C8:$M8,$C$3:$M$3)*10,2)))</f>
        <v/>
      </c>
      <c r="P8" s="17" t="str">
        <f aca="false">IF($B8="","",IF($O8&gt;=5,"Apto","No apto"))</f>
        <v/>
      </c>
    </row>
    <row r="9" customFormat="false" ht="15" hidden="false" customHeight="false" outlineLevel="0" collapsed="false">
      <c r="A9" s="14" t="str">
        <f aca="false">IF($B9="","",ROW()-4)</f>
        <v/>
      </c>
      <c r="B9" s="15"/>
      <c r="C9" s="15"/>
      <c r="D9" s="15"/>
      <c r="E9" s="15"/>
      <c r="F9" s="15"/>
      <c r="G9" s="15"/>
      <c r="H9" s="15"/>
      <c r="I9" s="15"/>
      <c r="J9" s="15"/>
      <c r="K9" s="15"/>
      <c r="L9" s="15"/>
      <c r="M9" s="15"/>
      <c r="N9" s="15"/>
      <c r="O9" s="16" t="str">
        <f aca="false">IF($B9="","",IF($N9="Sí",0,ROUND(SUMPRODUCT($C9:$M9,$C$3:$M$3)*10,2)))</f>
        <v/>
      </c>
      <c r="P9" s="17" t="str">
        <f aca="false">IF($B9="","",IF($O9&gt;=5,"Apto","No apto"))</f>
        <v/>
      </c>
    </row>
    <row r="10" customFormat="false" ht="15" hidden="false" customHeight="false" outlineLevel="0" collapsed="false">
      <c r="A10" s="14" t="str">
        <f aca="false">IF($B10="","",ROW()-4)</f>
        <v/>
      </c>
      <c r="B10" s="15"/>
      <c r="C10" s="15"/>
      <c r="D10" s="15"/>
      <c r="E10" s="15"/>
      <c r="F10" s="15"/>
      <c r="G10" s="15"/>
      <c r="H10" s="15"/>
      <c r="I10" s="15"/>
      <c r="J10" s="15"/>
      <c r="K10" s="15"/>
      <c r="L10" s="15"/>
      <c r="M10" s="15"/>
      <c r="N10" s="15"/>
      <c r="O10" s="16" t="str">
        <f aca="false">IF($B10="","",IF($N10="Sí",0,ROUND(SUMPRODUCT($C10:$M10,$C$3:$M$3)*10,2)))</f>
        <v/>
      </c>
      <c r="P10" s="17" t="str">
        <f aca="false">IF($B10="","",IF($O10&gt;=5,"Apto","No apto"))</f>
        <v/>
      </c>
    </row>
    <row r="11" customFormat="false" ht="15" hidden="false" customHeight="false" outlineLevel="0" collapsed="false">
      <c r="A11" s="14" t="str">
        <f aca="false">IF($B11="","",ROW()-4)</f>
        <v/>
      </c>
      <c r="B11" s="15"/>
      <c r="C11" s="15"/>
      <c r="D11" s="15"/>
      <c r="E11" s="15"/>
      <c r="F11" s="15"/>
      <c r="G11" s="15"/>
      <c r="H11" s="15"/>
      <c r="I11" s="15"/>
      <c r="J11" s="15"/>
      <c r="K11" s="15"/>
      <c r="L11" s="15"/>
      <c r="M11" s="15"/>
      <c r="N11" s="15"/>
      <c r="O11" s="16" t="str">
        <f aca="false">IF($B11="","",IF($N11="Sí",0,ROUND(SUMPRODUCT($C11:$M11,$C$3:$M$3)*10,2)))</f>
        <v/>
      </c>
      <c r="P11" s="17" t="str">
        <f aca="false">IF($B11="","",IF($O11&gt;=5,"Apto","No apto"))</f>
        <v/>
      </c>
    </row>
    <row r="12" customFormat="false" ht="15" hidden="false" customHeight="false" outlineLevel="0" collapsed="false">
      <c r="A12" s="14" t="str">
        <f aca="false">IF($B12="","",ROW()-4)</f>
        <v/>
      </c>
      <c r="B12" s="15"/>
      <c r="C12" s="15"/>
      <c r="D12" s="15"/>
      <c r="E12" s="15"/>
      <c r="F12" s="15"/>
      <c r="G12" s="15"/>
      <c r="H12" s="15"/>
      <c r="I12" s="15"/>
      <c r="J12" s="15"/>
      <c r="K12" s="15"/>
      <c r="L12" s="15"/>
      <c r="M12" s="15"/>
      <c r="N12" s="15"/>
      <c r="O12" s="16" t="str">
        <f aca="false">IF($B12="","",IF($N12="Sí",0,ROUND(SUMPRODUCT($C12:$M12,$C$3:$M$3)*10,2)))</f>
        <v/>
      </c>
      <c r="P12" s="17" t="str">
        <f aca="false">IF($B12="","",IF($O12&gt;=5,"Apto","No apto"))</f>
        <v/>
      </c>
    </row>
    <row r="13" customFormat="false" ht="15" hidden="false" customHeight="false" outlineLevel="0" collapsed="false">
      <c r="A13" s="14" t="str">
        <f aca="false">IF($B13="","",ROW()-4)</f>
        <v/>
      </c>
      <c r="B13" s="15"/>
      <c r="C13" s="15"/>
      <c r="D13" s="15"/>
      <c r="E13" s="15"/>
      <c r="F13" s="15"/>
      <c r="G13" s="15"/>
      <c r="H13" s="15"/>
      <c r="I13" s="15"/>
      <c r="J13" s="15"/>
      <c r="K13" s="15"/>
      <c r="L13" s="15"/>
      <c r="M13" s="15"/>
      <c r="N13" s="15"/>
      <c r="O13" s="16" t="str">
        <f aca="false">IF($B13="","",IF($N13="Sí",0,ROUND(SUMPRODUCT($C13:$M13,$C$3:$M$3)*10,2)))</f>
        <v/>
      </c>
      <c r="P13" s="17" t="str">
        <f aca="false">IF($B13="","",IF($O13&gt;=5,"Apto","No apto"))</f>
        <v/>
      </c>
    </row>
    <row r="14" customFormat="false" ht="15" hidden="false" customHeight="false" outlineLevel="0" collapsed="false">
      <c r="A14" s="14" t="str">
        <f aca="false">IF($B14="","",ROW()-4)</f>
        <v/>
      </c>
      <c r="B14" s="15"/>
      <c r="C14" s="15"/>
      <c r="D14" s="15"/>
      <c r="E14" s="15"/>
      <c r="F14" s="15"/>
      <c r="G14" s="15"/>
      <c r="H14" s="15"/>
      <c r="I14" s="15"/>
      <c r="J14" s="15"/>
      <c r="K14" s="15"/>
      <c r="L14" s="15"/>
      <c r="M14" s="15"/>
      <c r="N14" s="15"/>
      <c r="O14" s="16" t="str">
        <f aca="false">IF($B14="","",IF($N14="Sí",0,ROUND(SUMPRODUCT($C14:$M14,$C$3:$M$3)*10,2)))</f>
        <v/>
      </c>
      <c r="P14" s="17" t="str">
        <f aca="false">IF($B14="","",IF($O14&gt;=5,"Apto","No apto"))</f>
        <v/>
      </c>
    </row>
    <row r="15" customFormat="false" ht="15" hidden="false" customHeight="false" outlineLevel="0" collapsed="false">
      <c r="A15" s="14" t="str">
        <f aca="false">IF($B15="","",ROW()-4)</f>
        <v/>
      </c>
      <c r="B15" s="15"/>
      <c r="C15" s="15"/>
      <c r="D15" s="15"/>
      <c r="E15" s="15"/>
      <c r="F15" s="15"/>
      <c r="G15" s="15"/>
      <c r="H15" s="15"/>
      <c r="I15" s="15"/>
      <c r="J15" s="15"/>
      <c r="K15" s="15"/>
      <c r="L15" s="15"/>
      <c r="M15" s="15"/>
      <c r="N15" s="15"/>
      <c r="O15" s="16" t="str">
        <f aca="false">IF($B15="","",IF($N15="Sí",0,ROUND(SUMPRODUCT($C15:$M15,$C$3:$M$3)*10,2)))</f>
        <v/>
      </c>
      <c r="P15" s="17" t="str">
        <f aca="false">IF($B15="","",IF($O15&gt;=5,"Apto","No apto"))</f>
        <v/>
      </c>
    </row>
    <row r="16" customFormat="false" ht="15" hidden="false" customHeight="false" outlineLevel="0" collapsed="false">
      <c r="A16" s="14" t="str">
        <f aca="false">IF($B16="","",ROW()-4)</f>
        <v/>
      </c>
      <c r="B16" s="15"/>
      <c r="C16" s="15"/>
      <c r="D16" s="15"/>
      <c r="E16" s="15"/>
      <c r="F16" s="15"/>
      <c r="G16" s="15"/>
      <c r="H16" s="15"/>
      <c r="I16" s="15"/>
      <c r="J16" s="15"/>
      <c r="K16" s="15"/>
      <c r="L16" s="15"/>
      <c r="M16" s="15"/>
      <c r="N16" s="15"/>
      <c r="O16" s="16" t="str">
        <f aca="false">IF($B16="","",IF($N16="Sí",0,ROUND(SUMPRODUCT($C16:$M16,$C$3:$M$3)*10,2)))</f>
        <v/>
      </c>
      <c r="P16" s="17" t="str">
        <f aca="false">IF($B16="","",IF($O16&gt;=5,"Apto","No apto"))</f>
        <v/>
      </c>
    </row>
    <row r="17" customFormat="false" ht="15" hidden="false" customHeight="false" outlineLevel="0" collapsed="false">
      <c r="A17" s="14" t="str">
        <f aca="false">IF($B17="","",ROW()-4)</f>
        <v/>
      </c>
      <c r="B17" s="15"/>
      <c r="C17" s="15"/>
      <c r="D17" s="15"/>
      <c r="E17" s="15"/>
      <c r="F17" s="15"/>
      <c r="G17" s="15"/>
      <c r="H17" s="15"/>
      <c r="I17" s="15"/>
      <c r="J17" s="15"/>
      <c r="K17" s="15"/>
      <c r="L17" s="15"/>
      <c r="M17" s="15"/>
      <c r="N17" s="15"/>
      <c r="O17" s="16" t="str">
        <f aca="false">IF($B17="","",IF($N17="Sí",0,ROUND(SUMPRODUCT($C17:$M17,$C$3:$M$3)*10,2)))</f>
        <v/>
      </c>
      <c r="P17" s="17" t="str">
        <f aca="false">IF($B17="","",IF($O17&gt;=5,"Apto","No apto"))</f>
        <v/>
      </c>
    </row>
    <row r="18" customFormat="false" ht="15" hidden="false" customHeight="false" outlineLevel="0" collapsed="false">
      <c r="A18" s="14" t="str">
        <f aca="false">IF($B18="","",ROW()-4)</f>
        <v/>
      </c>
      <c r="B18" s="15"/>
      <c r="C18" s="15"/>
      <c r="D18" s="15"/>
      <c r="E18" s="15"/>
      <c r="F18" s="15"/>
      <c r="G18" s="15"/>
      <c r="H18" s="15"/>
      <c r="I18" s="15"/>
      <c r="J18" s="15"/>
      <c r="K18" s="15"/>
      <c r="L18" s="15"/>
      <c r="M18" s="15"/>
      <c r="N18" s="15"/>
      <c r="O18" s="16" t="str">
        <f aca="false">IF($B18="","",IF($N18="Sí",0,ROUND(SUMPRODUCT($C18:$M18,$C$3:$M$3)*10,2)))</f>
        <v/>
      </c>
      <c r="P18" s="17" t="str">
        <f aca="false">IF($B18="","",IF($O18&gt;=5,"Apto","No apto"))</f>
        <v/>
      </c>
    </row>
    <row r="19" customFormat="false" ht="15" hidden="false" customHeight="false" outlineLevel="0" collapsed="false">
      <c r="A19" s="14" t="str">
        <f aca="false">IF($B19="","",ROW()-4)</f>
        <v/>
      </c>
      <c r="B19" s="15"/>
      <c r="C19" s="15"/>
      <c r="D19" s="15"/>
      <c r="E19" s="15"/>
      <c r="F19" s="15"/>
      <c r="G19" s="15"/>
      <c r="H19" s="15"/>
      <c r="I19" s="15"/>
      <c r="J19" s="15"/>
      <c r="K19" s="15"/>
      <c r="L19" s="15"/>
      <c r="M19" s="15"/>
      <c r="N19" s="15"/>
      <c r="O19" s="16" t="str">
        <f aca="false">IF($B19="","",IF($N19="Sí",0,ROUND(SUMPRODUCT($C19:$M19,$C$3:$M$3)*10,2)))</f>
        <v/>
      </c>
      <c r="P19" s="17" t="str">
        <f aca="false">IF($B19="","",IF($O19&gt;=5,"Apto","No apto"))</f>
        <v/>
      </c>
    </row>
    <row r="20" customFormat="false" ht="15" hidden="false" customHeight="false" outlineLevel="0" collapsed="false">
      <c r="A20" s="14" t="str">
        <f aca="false">IF($B20="","",ROW()-4)</f>
        <v/>
      </c>
      <c r="B20" s="15"/>
      <c r="C20" s="15"/>
      <c r="D20" s="15"/>
      <c r="E20" s="15"/>
      <c r="F20" s="15"/>
      <c r="G20" s="15"/>
      <c r="H20" s="15"/>
      <c r="I20" s="15"/>
      <c r="J20" s="15"/>
      <c r="K20" s="15"/>
      <c r="L20" s="15"/>
      <c r="M20" s="15"/>
      <c r="N20" s="15"/>
      <c r="O20" s="16" t="str">
        <f aca="false">IF($B20="","",IF($N20="Sí",0,ROUND(SUMPRODUCT($C20:$M20,$C$3:$M$3)*10,2)))</f>
        <v/>
      </c>
      <c r="P20" s="17" t="str">
        <f aca="false">IF($B20="","",IF($O20&gt;=5,"Apto","No apto"))</f>
        <v/>
      </c>
    </row>
    <row r="21" customFormat="false" ht="15" hidden="false" customHeight="false" outlineLevel="0" collapsed="false">
      <c r="A21" s="14" t="str">
        <f aca="false">IF($B21="","",ROW()-4)</f>
        <v/>
      </c>
      <c r="B21" s="15"/>
      <c r="C21" s="15"/>
      <c r="D21" s="15"/>
      <c r="E21" s="15"/>
      <c r="F21" s="15"/>
      <c r="G21" s="15"/>
      <c r="H21" s="15"/>
      <c r="I21" s="15"/>
      <c r="J21" s="15"/>
      <c r="K21" s="15"/>
      <c r="L21" s="15"/>
      <c r="M21" s="15"/>
      <c r="N21" s="15"/>
      <c r="O21" s="16" t="str">
        <f aca="false">IF($B21="","",IF($N21="Sí",0,ROUND(SUMPRODUCT($C21:$M21,$C$3:$M$3)*10,2)))</f>
        <v/>
      </c>
      <c r="P21" s="17" t="str">
        <f aca="false">IF($B21="","",IF($O21&gt;=5,"Apto","No apto"))</f>
        <v/>
      </c>
    </row>
    <row r="22" customFormat="false" ht="15" hidden="false" customHeight="false" outlineLevel="0" collapsed="false">
      <c r="A22" s="14" t="str">
        <f aca="false">IF($B22="","",ROW()-4)</f>
        <v/>
      </c>
      <c r="B22" s="15"/>
      <c r="C22" s="15"/>
      <c r="D22" s="15"/>
      <c r="E22" s="15"/>
      <c r="F22" s="15"/>
      <c r="G22" s="15"/>
      <c r="H22" s="15"/>
      <c r="I22" s="15"/>
      <c r="J22" s="15"/>
      <c r="K22" s="15"/>
      <c r="L22" s="15"/>
      <c r="M22" s="15"/>
      <c r="N22" s="15"/>
      <c r="O22" s="16" t="str">
        <f aca="false">IF($B22="","",IF($N22="Sí",0,ROUND(SUMPRODUCT($C22:$M22,$C$3:$M$3)*10,2)))</f>
        <v/>
      </c>
      <c r="P22" s="17" t="str">
        <f aca="false">IF($B22="","",IF($O22&gt;=5,"Apto","No apto"))</f>
        <v/>
      </c>
    </row>
    <row r="23" customFormat="false" ht="15" hidden="false" customHeight="false" outlineLevel="0" collapsed="false">
      <c r="A23" s="14" t="str">
        <f aca="false">IF($B23="","",ROW()-4)</f>
        <v/>
      </c>
      <c r="B23" s="15"/>
      <c r="C23" s="15"/>
      <c r="D23" s="15"/>
      <c r="E23" s="15"/>
      <c r="F23" s="15"/>
      <c r="G23" s="15"/>
      <c r="H23" s="15"/>
      <c r="I23" s="15"/>
      <c r="J23" s="15"/>
      <c r="K23" s="15"/>
      <c r="L23" s="15"/>
      <c r="M23" s="15"/>
      <c r="N23" s="15"/>
      <c r="O23" s="16" t="str">
        <f aca="false">IF($B23="","",IF($N23="Sí",0,ROUND(SUMPRODUCT($C23:$M23,$C$3:$M$3)*10,2)))</f>
        <v/>
      </c>
      <c r="P23" s="17" t="str">
        <f aca="false">IF($B23="","",IF($O23&gt;=5,"Apto","No apto"))</f>
        <v/>
      </c>
    </row>
    <row r="24" customFormat="false" ht="15" hidden="false" customHeight="false" outlineLevel="0" collapsed="false">
      <c r="A24" s="14" t="str">
        <f aca="false">IF($B24="","",ROW()-4)</f>
        <v/>
      </c>
      <c r="B24" s="15"/>
      <c r="C24" s="15"/>
      <c r="D24" s="15"/>
      <c r="E24" s="15"/>
      <c r="F24" s="15"/>
      <c r="G24" s="15"/>
      <c r="H24" s="15"/>
      <c r="I24" s="15"/>
      <c r="J24" s="15"/>
      <c r="K24" s="15"/>
      <c r="L24" s="15"/>
      <c r="M24" s="15"/>
      <c r="N24" s="15"/>
      <c r="O24" s="16" t="str">
        <f aca="false">IF($B24="","",IF($N24="Sí",0,ROUND(SUMPRODUCT($C24:$M24,$C$3:$M$3)*10,2)))</f>
        <v/>
      </c>
      <c r="P24" s="17" t="str">
        <f aca="false">IF($B24="","",IF($O24&gt;=5,"Apto","No apto"))</f>
        <v/>
      </c>
    </row>
    <row r="25" customFormat="false" ht="15" hidden="false" customHeight="false" outlineLevel="0" collapsed="false">
      <c r="A25" s="14" t="str">
        <f aca="false">IF($B25="","",ROW()-4)</f>
        <v/>
      </c>
      <c r="B25" s="15"/>
      <c r="C25" s="15"/>
      <c r="D25" s="15"/>
      <c r="E25" s="15"/>
      <c r="F25" s="15"/>
      <c r="G25" s="15"/>
      <c r="H25" s="15"/>
      <c r="I25" s="15"/>
      <c r="J25" s="15"/>
      <c r="K25" s="15"/>
      <c r="L25" s="15"/>
      <c r="M25" s="15"/>
      <c r="N25" s="15"/>
      <c r="O25" s="16" t="str">
        <f aca="false">IF($B25="","",IF($N25="Sí",0,ROUND(SUMPRODUCT($C25:$M25,$C$3:$M$3)*10,2)))</f>
        <v/>
      </c>
      <c r="P25" s="17" t="str">
        <f aca="false">IF($B25="","",IF($O25&gt;=5,"Apto","No apto"))</f>
        <v/>
      </c>
    </row>
    <row r="26" customFormat="false" ht="15" hidden="false" customHeight="false" outlineLevel="0" collapsed="false">
      <c r="A26" s="14" t="str">
        <f aca="false">IF($B26="","",ROW()-4)</f>
        <v/>
      </c>
      <c r="B26" s="15"/>
      <c r="C26" s="15"/>
      <c r="D26" s="15"/>
      <c r="E26" s="15"/>
      <c r="F26" s="15"/>
      <c r="G26" s="15"/>
      <c r="H26" s="15"/>
      <c r="I26" s="15"/>
      <c r="J26" s="15"/>
      <c r="K26" s="15"/>
      <c r="L26" s="15"/>
      <c r="M26" s="15"/>
      <c r="N26" s="15"/>
      <c r="O26" s="16" t="str">
        <f aca="false">IF($B26="","",IF($N26="Sí",0,ROUND(SUMPRODUCT($C26:$M26,$C$3:$M$3)*10,2)))</f>
        <v/>
      </c>
      <c r="P26" s="17" t="str">
        <f aca="false">IF($B26="","",IF($O26&gt;=5,"Apto","No apto"))</f>
        <v/>
      </c>
    </row>
    <row r="27" customFormat="false" ht="15" hidden="false" customHeight="false" outlineLevel="0" collapsed="false">
      <c r="A27" s="14" t="str">
        <f aca="false">IF($B27="","",ROW()-4)</f>
        <v/>
      </c>
      <c r="B27" s="15"/>
      <c r="C27" s="15"/>
      <c r="D27" s="15"/>
      <c r="E27" s="15"/>
      <c r="F27" s="15"/>
      <c r="G27" s="15"/>
      <c r="H27" s="15"/>
      <c r="I27" s="15"/>
      <c r="J27" s="15"/>
      <c r="K27" s="15"/>
      <c r="L27" s="15"/>
      <c r="M27" s="15"/>
      <c r="N27" s="15"/>
      <c r="O27" s="16" t="str">
        <f aca="false">IF($B27="","",IF($N27="Sí",0,ROUND(SUMPRODUCT($C27:$M27,$C$3:$M$3)*10,2)))</f>
        <v/>
      </c>
      <c r="P27" s="17" t="str">
        <f aca="false">IF($B27="","",IF($O27&gt;=5,"Apto","No apto"))</f>
        <v/>
      </c>
    </row>
    <row r="28" customFormat="false" ht="15" hidden="false" customHeight="false" outlineLevel="0" collapsed="false">
      <c r="A28" s="14" t="str">
        <f aca="false">IF($B28="","",ROW()-4)</f>
        <v/>
      </c>
      <c r="B28" s="15"/>
      <c r="C28" s="15"/>
      <c r="D28" s="15"/>
      <c r="E28" s="15"/>
      <c r="F28" s="15"/>
      <c r="G28" s="15"/>
      <c r="H28" s="15"/>
      <c r="I28" s="15"/>
      <c r="J28" s="15"/>
      <c r="K28" s="15"/>
      <c r="L28" s="15"/>
      <c r="M28" s="15"/>
      <c r="N28" s="15"/>
      <c r="O28" s="16" t="str">
        <f aca="false">IF($B28="","",IF($N28="Sí",0,ROUND(SUMPRODUCT($C28:$M28,$C$3:$M$3)*10,2)))</f>
        <v/>
      </c>
      <c r="P28" s="17" t="str">
        <f aca="false">IF($B28="","",IF($O28&gt;=5,"Apto","No apto"))</f>
        <v/>
      </c>
    </row>
    <row r="29" customFormat="false" ht="15" hidden="false" customHeight="false" outlineLevel="0" collapsed="false">
      <c r="A29" s="14" t="str">
        <f aca="false">IF($B29="","",ROW()-4)</f>
        <v/>
      </c>
      <c r="B29" s="15"/>
      <c r="C29" s="15"/>
      <c r="D29" s="15"/>
      <c r="E29" s="15"/>
      <c r="F29" s="15"/>
      <c r="G29" s="15"/>
      <c r="H29" s="15"/>
      <c r="I29" s="15"/>
      <c r="J29" s="15"/>
      <c r="K29" s="15"/>
      <c r="L29" s="15"/>
      <c r="M29" s="15"/>
      <c r="N29" s="15"/>
      <c r="O29" s="16" t="str">
        <f aca="false">IF($B29="","",IF($N29="Sí",0,ROUND(SUMPRODUCT($C29:$M29,$C$3:$M$3)*10,2)))</f>
        <v/>
      </c>
      <c r="P29" s="17" t="str">
        <f aca="false">IF($B29="","",IF($O29&gt;=5,"Apto","No apto"))</f>
        <v/>
      </c>
    </row>
    <row r="30" customFormat="false" ht="15" hidden="false" customHeight="false" outlineLevel="0" collapsed="false">
      <c r="A30" s="14" t="str">
        <f aca="false">IF($B30="","",ROW()-4)</f>
        <v/>
      </c>
      <c r="B30" s="15"/>
      <c r="C30" s="15"/>
      <c r="D30" s="15"/>
      <c r="E30" s="15"/>
      <c r="F30" s="15"/>
      <c r="G30" s="15"/>
      <c r="H30" s="15"/>
      <c r="I30" s="15"/>
      <c r="J30" s="15"/>
      <c r="K30" s="15"/>
      <c r="L30" s="15"/>
      <c r="M30" s="15"/>
      <c r="N30" s="15"/>
      <c r="O30" s="16" t="str">
        <f aca="false">IF($B30="","",IF($N30="Sí",0,ROUND(SUMPRODUCT($C30:$M30,$C$3:$M$3)*10,2)))</f>
        <v/>
      </c>
      <c r="P30" s="17" t="str">
        <f aca="false">IF($B30="","",IF($O30&gt;=5,"Apto","No apto"))</f>
        <v/>
      </c>
    </row>
    <row r="31" customFormat="false" ht="15" hidden="false" customHeight="false" outlineLevel="0" collapsed="false">
      <c r="A31" s="14" t="str">
        <f aca="false">IF($B31="","",ROW()-4)</f>
        <v/>
      </c>
      <c r="B31" s="15"/>
      <c r="C31" s="15"/>
      <c r="D31" s="15"/>
      <c r="E31" s="15"/>
      <c r="F31" s="15"/>
      <c r="G31" s="15"/>
      <c r="H31" s="15"/>
      <c r="I31" s="15"/>
      <c r="J31" s="15"/>
      <c r="K31" s="15"/>
      <c r="L31" s="15"/>
      <c r="M31" s="15"/>
      <c r="N31" s="15"/>
      <c r="O31" s="16" t="str">
        <f aca="false">IF($B31="","",IF($N31="Sí",0,ROUND(SUMPRODUCT($C31:$M31,$C$3:$M$3)*10,2)))</f>
        <v/>
      </c>
      <c r="P31" s="17" t="str">
        <f aca="false">IF($B31="","",IF($O31&gt;=5,"Apto","No apto"))</f>
        <v/>
      </c>
    </row>
    <row r="32" customFormat="false" ht="15" hidden="false" customHeight="false" outlineLevel="0" collapsed="false">
      <c r="A32" s="14" t="str">
        <f aca="false">IF($B32="","",ROW()-4)</f>
        <v/>
      </c>
      <c r="B32" s="15"/>
      <c r="C32" s="15"/>
      <c r="D32" s="15"/>
      <c r="E32" s="15"/>
      <c r="F32" s="15"/>
      <c r="G32" s="15"/>
      <c r="H32" s="15"/>
      <c r="I32" s="15"/>
      <c r="J32" s="15"/>
      <c r="K32" s="15"/>
      <c r="L32" s="15"/>
      <c r="M32" s="15"/>
      <c r="N32" s="15"/>
      <c r="O32" s="16" t="str">
        <f aca="false">IF($B32="","",IF($N32="Sí",0,ROUND(SUMPRODUCT($C32:$M32,$C$3:$M$3)*10,2)))</f>
        <v/>
      </c>
      <c r="P32" s="17" t="str">
        <f aca="false">IF($B32="","",IF($O32&gt;=5,"Apto","No apto"))</f>
        <v/>
      </c>
    </row>
    <row r="33" customFormat="false" ht="15" hidden="false" customHeight="false" outlineLevel="0" collapsed="false">
      <c r="A33" s="14" t="str">
        <f aca="false">IF($B33="","",ROW()-4)</f>
        <v/>
      </c>
      <c r="B33" s="15"/>
      <c r="C33" s="15"/>
      <c r="D33" s="15"/>
      <c r="E33" s="15"/>
      <c r="F33" s="15"/>
      <c r="G33" s="15"/>
      <c r="H33" s="15"/>
      <c r="I33" s="15"/>
      <c r="J33" s="15"/>
      <c r="K33" s="15"/>
      <c r="L33" s="15"/>
      <c r="M33" s="15"/>
      <c r="N33" s="15"/>
      <c r="O33" s="16" t="str">
        <f aca="false">IF($B33="","",IF($N33="Sí",0,ROUND(SUMPRODUCT($C33:$M33,$C$3:$M$3)*10,2)))</f>
        <v/>
      </c>
      <c r="P33" s="17" t="str">
        <f aca="false">IF($B33="","",IF($O33&gt;=5,"Apto","No apto"))</f>
        <v/>
      </c>
    </row>
    <row r="34" customFormat="false" ht="15" hidden="false" customHeight="false" outlineLevel="0" collapsed="false">
      <c r="A34" s="14" t="str">
        <f aca="false">IF($B34="","",ROW()-4)</f>
        <v/>
      </c>
      <c r="B34" s="15"/>
      <c r="C34" s="15"/>
      <c r="D34" s="15"/>
      <c r="E34" s="15"/>
      <c r="F34" s="15"/>
      <c r="G34" s="15"/>
      <c r="H34" s="15"/>
      <c r="I34" s="15"/>
      <c r="J34" s="15"/>
      <c r="K34" s="15"/>
      <c r="L34" s="15"/>
      <c r="M34" s="15"/>
      <c r="N34" s="15"/>
      <c r="O34" s="16" t="str">
        <f aca="false">IF($B34="","",IF($N34="Sí",0,ROUND(SUMPRODUCT($C34:$M34,$C$3:$M$3)*10,2)))</f>
        <v/>
      </c>
      <c r="P34" s="17" t="str">
        <f aca="false">IF($B34="","",IF($O34&gt;=5,"Apto","No apto"))</f>
        <v/>
      </c>
    </row>
    <row r="35" customFormat="false" ht="15" hidden="false" customHeight="false" outlineLevel="0" collapsed="false">
      <c r="A35" s="14" t="str">
        <f aca="false">IF($B35="","",ROW()-4)</f>
        <v/>
      </c>
      <c r="B35" s="15"/>
      <c r="C35" s="15"/>
      <c r="D35" s="15"/>
      <c r="E35" s="15"/>
      <c r="F35" s="15"/>
      <c r="G35" s="15"/>
      <c r="H35" s="15"/>
      <c r="I35" s="15"/>
      <c r="J35" s="15"/>
      <c r="K35" s="15"/>
      <c r="L35" s="15"/>
      <c r="M35" s="15"/>
      <c r="N35" s="15"/>
      <c r="O35" s="16" t="str">
        <f aca="false">IF($B35="","",IF($N35="Sí",0,ROUND(SUMPRODUCT($C35:$M35,$C$3:$M$3)*10,2)))</f>
        <v/>
      </c>
      <c r="P35" s="17" t="str">
        <f aca="false">IF($B35="","",IF($O35&gt;=5,"Apto","No apto"))</f>
        <v/>
      </c>
    </row>
  </sheetData>
  <mergeCells count="1">
    <mergeCell ref="A1:P1"/>
  </mergeCells>
  <dataValidations count="2">
    <dataValidation allowBlank="true" errorStyle="stop" operator="between" showDropDown="false" showErrorMessage="false" showInputMessage="false" sqref="C5:M35" type="list">
      <formula1>"1,0.5,0"</formula1>
      <formula2>0</formula2>
    </dataValidation>
    <dataValidation allowBlank="true" errorStyle="stop" operator="between" showDropDown="false" showErrorMessage="false" showInputMessage="false" sqref="N5:N35" type="list">
      <formula1>"Sí,No"</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7" min="3" style="0" width="11"/>
    <col collapsed="false" customWidth="true" hidden="false" outlineLevel="0" max="9" min="8" style="0" width="13"/>
    <col collapsed="false" customWidth="true" hidden="false" outlineLevel="0" max="10" min="10" style="0" width="12"/>
  </cols>
  <sheetData>
    <row r="1" customFormat="false" ht="17.35" hidden="false" customHeight="false" outlineLevel="0" collapsed="false">
      <c r="A1" s="1" t="s">
        <v>95</v>
      </c>
      <c r="B1" s="1"/>
      <c r="C1" s="1"/>
      <c r="D1" s="1"/>
      <c r="E1" s="1"/>
      <c r="F1" s="1"/>
      <c r="G1" s="1"/>
      <c r="H1" s="1"/>
      <c r="I1" s="1"/>
      <c r="J1" s="1"/>
    </row>
    <row r="3" customFormat="false" ht="30" hidden="false" customHeight="true" outlineLevel="0" collapsed="false">
      <c r="A3" s="18" t="s">
        <v>96</v>
      </c>
      <c r="B3" s="18"/>
      <c r="C3" s="18"/>
      <c r="D3" s="18"/>
      <c r="E3" s="18"/>
      <c r="F3" s="18"/>
      <c r="G3" s="18"/>
      <c r="H3" s="18"/>
      <c r="I3" s="18"/>
      <c r="J3" s="18"/>
    </row>
    <row r="4" customFormat="false" ht="31.5" hidden="false" customHeight="true" outlineLevel="0" collapsed="false">
      <c r="A4" s="5" t="s">
        <v>77</v>
      </c>
      <c r="B4" s="5" t="s">
        <v>78</v>
      </c>
      <c r="C4" s="5" t="s">
        <v>97</v>
      </c>
      <c r="D4" s="5" t="s">
        <v>98</v>
      </c>
      <c r="E4" s="5" t="s">
        <v>99</v>
      </c>
      <c r="F4" s="5" t="s">
        <v>100</v>
      </c>
      <c r="G4" s="5" t="s">
        <v>101</v>
      </c>
      <c r="H4" s="5" t="s">
        <v>102</v>
      </c>
      <c r="I4" s="5" t="s">
        <v>103</v>
      </c>
      <c r="J4" s="5" t="s">
        <v>92</v>
      </c>
    </row>
    <row r="5" customFormat="false" ht="15" hidden="false" customHeight="false" outlineLevel="0" collapsed="false">
      <c r="A5" s="14" t="n">
        <f aca="false">IF($B5="","",ROW()-4)</f>
        <v>1</v>
      </c>
      <c r="B5" s="19" t="str">
        <f aca="false">IF('Calificación por ítem'!B5="","",'Calificación por ítem'!B5)</f>
        <v>Alumno de ejemplo (sustituir o borrar)</v>
      </c>
      <c r="C5" s="20" t="n">
        <v>8</v>
      </c>
      <c r="D5" s="20" t="n">
        <v>7</v>
      </c>
      <c r="E5" s="20" t="n">
        <v>9</v>
      </c>
      <c r="F5" s="20" t="n">
        <v>6</v>
      </c>
      <c r="G5" s="20" t="n">
        <v>8</v>
      </c>
      <c r="H5" s="21" t="n">
        <f aca="false">IF($B5="","",AVERAGE($C5:$G5))</f>
        <v>7.6</v>
      </c>
      <c r="I5" s="22" t="n">
        <f aca="false">IF($B5="","",ROUND($H5,0))</f>
        <v>8</v>
      </c>
      <c r="J5" s="17" t="str">
        <f aca="false">IF($B5="","",IF($I5&gt;=5,"Apto","No apto"))</f>
        <v>Apto</v>
      </c>
    </row>
    <row r="6" customFormat="false" ht="15" hidden="false" customHeight="false" outlineLevel="0" collapsed="false">
      <c r="A6" s="14" t="str">
        <f aca="false">IF($B6="","",ROW()-4)</f>
        <v/>
      </c>
      <c r="B6" s="19" t="str">
        <f aca="false">IF('Calificación por ítem'!B6="","",'Calificación por ítem'!B6)</f>
        <v/>
      </c>
      <c r="C6" s="20"/>
      <c r="D6" s="20"/>
      <c r="E6" s="20"/>
      <c r="F6" s="20"/>
      <c r="G6" s="20"/>
      <c r="H6" s="21" t="str">
        <f aca="false">IF($B6="","",AVERAGE($C6:$G6))</f>
        <v/>
      </c>
      <c r="I6" s="22" t="str">
        <f aca="false">IF($B6="","",ROUND($H6,0))</f>
        <v/>
      </c>
      <c r="J6" s="17" t="str">
        <f aca="false">IF($B6="","",IF($I6&gt;=5,"Apto","No apto"))</f>
        <v/>
      </c>
    </row>
    <row r="7" customFormat="false" ht="15" hidden="false" customHeight="false" outlineLevel="0" collapsed="false">
      <c r="A7" s="14" t="str">
        <f aca="false">IF($B7="","",ROW()-4)</f>
        <v/>
      </c>
      <c r="B7" s="19" t="str">
        <f aca="false">IF('Calificación por ítem'!B7="","",'Calificación por ítem'!B7)</f>
        <v/>
      </c>
      <c r="C7" s="20"/>
      <c r="D7" s="20"/>
      <c r="E7" s="20"/>
      <c r="F7" s="20"/>
      <c r="G7" s="20"/>
      <c r="H7" s="21" t="str">
        <f aca="false">IF($B7="","",AVERAGE($C7:$G7))</f>
        <v/>
      </c>
      <c r="I7" s="22" t="str">
        <f aca="false">IF($B7="","",ROUND($H7,0))</f>
        <v/>
      </c>
      <c r="J7" s="17" t="str">
        <f aca="false">IF($B7="","",IF($I7&gt;=5,"Apto","No apto"))</f>
        <v/>
      </c>
    </row>
    <row r="8" customFormat="false" ht="15" hidden="false" customHeight="false" outlineLevel="0" collapsed="false">
      <c r="A8" s="14" t="str">
        <f aca="false">IF($B8="","",ROW()-4)</f>
        <v/>
      </c>
      <c r="B8" s="19" t="str">
        <f aca="false">IF('Calificación por ítem'!B8="","",'Calificación por ítem'!B8)</f>
        <v/>
      </c>
      <c r="C8" s="20"/>
      <c r="D8" s="20"/>
      <c r="E8" s="20"/>
      <c r="F8" s="20"/>
      <c r="G8" s="20"/>
      <c r="H8" s="21" t="str">
        <f aca="false">IF($B8="","",AVERAGE($C8:$G8))</f>
        <v/>
      </c>
      <c r="I8" s="22" t="str">
        <f aca="false">IF($B8="","",ROUND($H8,0))</f>
        <v/>
      </c>
      <c r="J8" s="17" t="str">
        <f aca="false">IF($B8="","",IF($I8&gt;=5,"Apto","No apto"))</f>
        <v/>
      </c>
    </row>
    <row r="9" customFormat="false" ht="15" hidden="false" customHeight="false" outlineLevel="0" collapsed="false">
      <c r="A9" s="14" t="str">
        <f aca="false">IF($B9="","",ROW()-4)</f>
        <v/>
      </c>
      <c r="B9" s="19" t="str">
        <f aca="false">IF('Calificación por ítem'!B9="","",'Calificación por ítem'!B9)</f>
        <v/>
      </c>
      <c r="C9" s="20"/>
      <c r="D9" s="20"/>
      <c r="E9" s="20"/>
      <c r="F9" s="20"/>
      <c r="G9" s="20"/>
      <c r="H9" s="21" t="str">
        <f aca="false">IF($B9="","",AVERAGE($C9:$G9))</f>
        <v/>
      </c>
      <c r="I9" s="22" t="str">
        <f aca="false">IF($B9="","",ROUND($H9,0))</f>
        <v/>
      </c>
      <c r="J9" s="17" t="str">
        <f aca="false">IF($B9="","",IF($I9&gt;=5,"Apto","No apto"))</f>
        <v/>
      </c>
    </row>
    <row r="10" customFormat="false" ht="15" hidden="false" customHeight="false" outlineLevel="0" collapsed="false">
      <c r="A10" s="14" t="str">
        <f aca="false">IF($B10="","",ROW()-4)</f>
        <v/>
      </c>
      <c r="B10" s="19" t="str">
        <f aca="false">IF('Calificación por ítem'!B10="","",'Calificación por ítem'!B10)</f>
        <v/>
      </c>
      <c r="C10" s="20"/>
      <c r="D10" s="20"/>
      <c r="E10" s="20"/>
      <c r="F10" s="20"/>
      <c r="G10" s="20"/>
      <c r="H10" s="21" t="str">
        <f aca="false">IF($B10="","",AVERAGE($C10:$G10))</f>
        <v/>
      </c>
      <c r="I10" s="22" t="str">
        <f aca="false">IF($B10="","",ROUND($H10,0))</f>
        <v/>
      </c>
      <c r="J10" s="17" t="str">
        <f aca="false">IF($B10="","",IF($I10&gt;=5,"Apto","No apto"))</f>
        <v/>
      </c>
    </row>
    <row r="11" customFormat="false" ht="15" hidden="false" customHeight="false" outlineLevel="0" collapsed="false">
      <c r="A11" s="14" t="str">
        <f aca="false">IF($B11="","",ROW()-4)</f>
        <v/>
      </c>
      <c r="B11" s="19" t="str">
        <f aca="false">IF('Calificación por ítem'!B11="","",'Calificación por ítem'!B11)</f>
        <v/>
      </c>
      <c r="C11" s="20"/>
      <c r="D11" s="20"/>
      <c r="E11" s="20"/>
      <c r="F11" s="20"/>
      <c r="G11" s="20"/>
      <c r="H11" s="21" t="str">
        <f aca="false">IF($B11="","",AVERAGE($C11:$G11))</f>
        <v/>
      </c>
      <c r="I11" s="22" t="str">
        <f aca="false">IF($B11="","",ROUND($H11,0))</f>
        <v/>
      </c>
      <c r="J11" s="17" t="str">
        <f aca="false">IF($B11="","",IF($I11&gt;=5,"Apto","No apto"))</f>
        <v/>
      </c>
    </row>
    <row r="12" customFormat="false" ht="15" hidden="false" customHeight="false" outlineLevel="0" collapsed="false">
      <c r="A12" s="14" t="str">
        <f aca="false">IF($B12="","",ROW()-4)</f>
        <v/>
      </c>
      <c r="B12" s="19" t="str">
        <f aca="false">IF('Calificación por ítem'!B12="","",'Calificación por ítem'!B12)</f>
        <v/>
      </c>
      <c r="C12" s="20"/>
      <c r="D12" s="20"/>
      <c r="E12" s="20"/>
      <c r="F12" s="20"/>
      <c r="G12" s="20"/>
      <c r="H12" s="21" t="str">
        <f aca="false">IF($B12="","",AVERAGE($C12:$G12))</f>
        <v/>
      </c>
      <c r="I12" s="22" t="str">
        <f aca="false">IF($B12="","",ROUND($H12,0))</f>
        <v/>
      </c>
      <c r="J12" s="17" t="str">
        <f aca="false">IF($B12="","",IF($I12&gt;=5,"Apto","No apto"))</f>
        <v/>
      </c>
    </row>
    <row r="13" customFormat="false" ht="15" hidden="false" customHeight="false" outlineLevel="0" collapsed="false">
      <c r="A13" s="14" t="str">
        <f aca="false">IF($B13="","",ROW()-4)</f>
        <v/>
      </c>
      <c r="B13" s="19" t="str">
        <f aca="false">IF('Calificación por ítem'!B13="","",'Calificación por ítem'!B13)</f>
        <v/>
      </c>
      <c r="C13" s="20"/>
      <c r="D13" s="20"/>
      <c r="E13" s="20"/>
      <c r="F13" s="20"/>
      <c r="G13" s="20"/>
      <c r="H13" s="21" t="str">
        <f aca="false">IF($B13="","",AVERAGE($C13:$G13))</f>
        <v/>
      </c>
      <c r="I13" s="22" t="str">
        <f aca="false">IF($B13="","",ROUND($H13,0))</f>
        <v/>
      </c>
      <c r="J13" s="17" t="str">
        <f aca="false">IF($B13="","",IF($I13&gt;=5,"Apto","No apto"))</f>
        <v/>
      </c>
    </row>
    <row r="14" customFormat="false" ht="15" hidden="false" customHeight="false" outlineLevel="0" collapsed="false">
      <c r="A14" s="14" t="str">
        <f aca="false">IF($B14="","",ROW()-4)</f>
        <v/>
      </c>
      <c r="B14" s="19" t="str">
        <f aca="false">IF('Calificación por ítem'!B14="","",'Calificación por ítem'!B14)</f>
        <v/>
      </c>
      <c r="C14" s="20"/>
      <c r="D14" s="20"/>
      <c r="E14" s="20"/>
      <c r="F14" s="20"/>
      <c r="G14" s="20"/>
      <c r="H14" s="21" t="str">
        <f aca="false">IF($B14="","",AVERAGE($C14:$G14))</f>
        <v/>
      </c>
      <c r="I14" s="22" t="str">
        <f aca="false">IF($B14="","",ROUND($H14,0))</f>
        <v/>
      </c>
      <c r="J14" s="17" t="str">
        <f aca="false">IF($B14="","",IF($I14&gt;=5,"Apto","No apto"))</f>
        <v/>
      </c>
    </row>
    <row r="15" customFormat="false" ht="15" hidden="false" customHeight="false" outlineLevel="0" collapsed="false">
      <c r="A15" s="14" t="str">
        <f aca="false">IF($B15="","",ROW()-4)</f>
        <v/>
      </c>
      <c r="B15" s="19" t="str">
        <f aca="false">IF('Calificación por ítem'!B15="","",'Calificación por ítem'!B15)</f>
        <v/>
      </c>
      <c r="C15" s="20"/>
      <c r="D15" s="20"/>
      <c r="E15" s="20"/>
      <c r="F15" s="20"/>
      <c r="G15" s="20"/>
      <c r="H15" s="21" t="str">
        <f aca="false">IF($B15="","",AVERAGE($C15:$G15))</f>
        <v/>
      </c>
      <c r="I15" s="22" t="str">
        <f aca="false">IF($B15="","",ROUND($H15,0))</f>
        <v/>
      </c>
      <c r="J15" s="17" t="str">
        <f aca="false">IF($B15="","",IF($I15&gt;=5,"Apto","No apto"))</f>
        <v/>
      </c>
    </row>
    <row r="16" customFormat="false" ht="15" hidden="false" customHeight="false" outlineLevel="0" collapsed="false">
      <c r="A16" s="14" t="str">
        <f aca="false">IF($B16="","",ROW()-4)</f>
        <v/>
      </c>
      <c r="B16" s="19" t="str">
        <f aca="false">IF('Calificación por ítem'!B16="","",'Calificación por ítem'!B16)</f>
        <v/>
      </c>
      <c r="C16" s="20"/>
      <c r="D16" s="20"/>
      <c r="E16" s="20"/>
      <c r="F16" s="20"/>
      <c r="G16" s="20"/>
      <c r="H16" s="21" t="str">
        <f aca="false">IF($B16="","",AVERAGE($C16:$G16))</f>
        <v/>
      </c>
      <c r="I16" s="22" t="str">
        <f aca="false">IF($B16="","",ROUND($H16,0))</f>
        <v/>
      </c>
      <c r="J16" s="17" t="str">
        <f aca="false">IF($B16="","",IF($I16&gt;=5,"Apto","No apto"))</f>
        <v/>
      </c>
    </row>
    <row r="17" customFormat="false" ht="15" hidden="false" customHeight="false" outlineLevel="0" collapsed="false">
      <c r="A17" s="14" t="str">
        <f aca="false">IF($B17="","",ROW()-4)</f>
        <v/>
      </c>
      <c r="B17" s="19" t="str">
        <f aca="false">IF('Calificación por ítem'!B17="","",'Calificación por ítem'!B17)</f>
        <v/>
      </c>
      <c r="C17" s="20"/>
      <c r="D17" s="20"/>
      <c r="E17" s="20"/>
      <c r="F17" s="20"/>
      <c r="G17" s="20"/>
      <c r="H17" s="21" t="str">
        <f aca="false">IF($B17="","",AVERAGE($C17:$G17))</f>
        <v/>
      </c>
      <c r="I17" s="22" t="str">
        <f aca="false">IF($B17="","",ROUND($H17,0))</f>
        <v/>
      </c>
      <c r="J17" s="17" t="str">
        <f aca="false">IF($B17="","",IF($I17&gt;=5,"Apto","No apto"))</f>
        <v/>
      </c>
    </row>
    <row r="18" customFormat="false" ht="15" hidden="false" customHeight="false" outlineLevel="0" collapsed="false">
      <c r="A18" s="14" t="str">
        <f aca="false">IF($B18="","",ROW()-4)</f>
        <v/>
      </c>
      <c r="B18" s="19" t="str">
        <f aca="false">IF('Calificación por ítem'!B18="","",'Calificación por ítem'!B18)</f>
        <v/>
      </c>
      <c r="C18" s="20"/>
      <c r="D18" s="20"/>
      <c r="E18" s="20"/>
      <c r="F18" s="20"/>
      <c r="G18" s="20"/>
      <c r="H18" s="21" t="str">
        <f aca="false">IF($B18="","",AVERAGE($C18:$G18))</f>
        <v/>
      </c>
      <c r="I18" s="22" t="str">
        <f aca="false">IF($B18="","",ROUND($H18,0))</f>
        <v/>
      </c>
      <c r="J18" s="17" t="str">
        <f aca="false">IF($B18="","",IF($I18&gt;=5,"Apto","No apto"))</f>
        <v/>
      </c>
    </row>
    <row r="19" customFormat="false" ht="15" hidden="false" customHeight="false" outlineLevel="0" collapsed="false">
      <c r="A19" s="14" t="str">
        <f aca="false">IF($B19="","",ROW()-4)</f>
        <v/>
      </c>
      <c r="B19" s="19" t="str">
        <f aca="false">IF('Calificación por ítem'!B19="","",'Calificación por ítem'!B19)</f>
        <v/>
      </c>
      <c r="C19" s="20"/>
      <c r="D19" s="20"/>
      <c r="E19" s="20"/>
      <c r="F19" s="20"/>
      <c r="G19" s="20"/>
      <c r="H19" s="21" t="str">
        <f aca="false">IF($B19="","",AVERAGE($C19:$G19))</f>
        <v/>
      </c>
      <c r="I19" s="22" t="str">
        <f aca="false">IF($B19="","",ROUND($H19,0))</f>
        <v/>
      </c>
      <c r="J19" s="17" t="str">
        <f aca="false">IF($B19="","",IF($I19&gt;=5,"Apto","No apto"))</f>
        <v/>
      </c>
    </row>
    <row r="20" customFormat="false" ht="15" hidden="false" customHeight="false" outlineLevel="0" collapsed="false">
      <c r="A20" s="14" t="str">
        <f aca="false">IF($B20="","",ROW()-4)</f>
        <v/>
      </c>
      <c r="B20" s="19" t="str">
        <f aca="false">IF('Calificación por ítem'!B20="","",'Calificación por ítem'!B20)</f>
        <v/>
      </c>
      <c r="C20" s="20"/>
      <c r="D20" s="20"/>
      <c r="E20" s="20"/>
      <c r="F20" s="20"/>
      <c r="G20" s="20"/>
      <c r="H20" s="21" t="str">
        <f aca="false">IF($B20="","",AVERAGE($C20:$G20))</f>
        <v/>
      </c>
      <c r="I20" s="22" t="str">
        <f aca="false">IF($B20="","",ROUND($H20,0))</f>
        <v/>
      </c>
      <c r="J20" s="17" t="str">
        <f aca="false">IF($B20="","",IF($I20&gt;=5,"Apto","No apto"))</f>
        <v/>
      </c>
    </row>
    <row r="21" customFormat="false" ht="15" hidden="false" customHeight="false" outlineLevel="0" collapsed="false">
      <c r="A21" s="14" t="str">
        <f aca="false">IF($B21="","",ROW()-4)</f>
        <v/>
      </c>
      <c r="B21" s="19" t="str">
        <f aca="false">IF('Calificación por ítem'!B21="","",'Calificación por ítem'!B21)</f>
        <v/>
      </c>
      <c r="C21" s="20"/>
      <c r="D21" s="20"/>
      <c r="E21" s="20"/>
      <c r="F21" s="20"/>
      <c r="G21" s="20"/>
      <c r="H21" s="21" t="str">
        <f aca="false">IF($B21="","",AVERAGE($C21:$G21))</f>
        <v/>
      </c>
      <c r="I21" s="22" t="str">
        <f aca="false">IF($B21="","",ROUND($H21,0))</f>
        <v/>
      </c>
      <c r="J21" s="17" t="str">
        <f aca="false">IF($B21="","",IF($I21&gt;=5,"Apto","No apto"))</f>
        <v/>
      </c>
    </row>
    <row r="22" customFormat="false" ht="15" hidden="false" customHeight="false" outlineLevel="0" collapsed="false">
      <c r="A22" s="14" t="str">
        <f aca="false">IF($B22="","",ROW()-4)</f>
        <v/>
      </c>
      <c r="B22" s="19" t="str">
        <f aca="false">IF('Calificación por ítem'!B22="","",'Calificación por ítem'!B22)</f>
        <v/>
      </c>
      <c r="C22" s="20"/>
      <c r="D22" s="20"/>
      <c r="E22" s="20"/>
      <c r="F22" s="20"/>
      <c r="G22" s="20"/>
      <c r="H22" s="21" t="str">
        <f aca="false">IF($B22="","",AVERAGE($C22:$G22))</f>
        <v/>
      </c>
      <c r="I22" s="22" t="str">
        <f aca="false">IF($B22="","",ROUND($H22,0))</f>
        <v/>
      </c>
      <c r="J22" s="17" t="str">
        <f aca="false">IF($B22="","",IF($I22&gt;=5,"Apto","No apto"))</f>
        <v/>
      </c>
    </row>
    <row r="23" customFormat="false" ht="15" hidden="false" customHeight="false" outlineLevel="0" collapsed="false">
      <c r="A23" s="14" t="str">
        <f aca="false">IF($B23="","",ROW()-4)</f>
        <v/>
      </c>
      <c r="B23" s="19" t="str">
        <f aca="false">IF('Calificación por ítem'!B23="","",'Calificación por ítem'!B23)</f>
        <v/>
      </c>
      <c r="C23" s="20"/>
      <c r="D23" s="20"/>
      <c r="E23" s="20"/>
      <c r="F23" s="20"/>
      <c r="G23" s="20"/>
      <c r="H23" s="21" t="str">
        <f aca="false">IF($B23="","",AVERAGE($C23:$G23))</f>
        <v/>
      </c>
      <c r="I23" s="22" t="str">
        <f aca="false">IF($B23="","",ROUND($H23,0))</f>
        <v/>
      </c>
      <c r="J23" s="17" t="str">
        <f aca="false">IF($B23="","",IF($I23&gt;=5,"Apto","No apto"))</f>
        <v/>
      </c>
    </row>
    <row r="24" customFormat="false" ht="15" hidden="false" customHeight="false" outlineLevel="0" collapsed="false">
      <c r="A24" s="14" t="str">
        <f aca="false">IF($B24="","",ROW()-4)</f>
        <v/>
      </c>
      <c r="B24" s="19" t="str">
        <f aca="false">IF('Calificación por ítem'!B24="","",'Calificación por ítem'!B24)</f>
        <v/>
      </c>
      <c r="C24" s="20"/>
      <c r="D24" s="20"/>
      <c r="E24" s="20"/>
      <c r="F24" s="20"/>
      <c r="G24" s="20"/>
      <c r="H24" s="21" t="str">
        <f aca="false">IF($B24="","",AVERAGE($C24:$G24))</f>
        <v/>
      </c>
      <c r="I24" s="22" t="str">
        <f aca="false">IF($B24="","",ROUND($H24,0))</f>
        <v/>
      </c>
      <c r="J24" s="17" t="str">
        <f aca="false">IF($B24="","",IF($I24&gt;=5,"Apto","No apto"))</f>
        <v/>
      </c>
    </row>
    <row r="25" customFormat="false" ht="15" hidden="false" customHeight="false" outlineLevel="0" collapsed="false">
      <c r="A25" s="14" t="str">
        <f aca="false">IF($B25="","",ROW()-4)</f>
        <v/>
      </c>
      <c r="B25" s="19" t="str">
        <f aca="false">IF('Calificación por ítem'!B25="","",'Calificación por ítem'!B25)</f>
        <v/>
      </c>
      <c r="C25" s="20"/>
      <c r="D25" s="20"/>
      <c r="E25" s="20"/>
      <c r="F25" s="20"/>
      <c r="G25" s="20"/>
      <c r="H25" s="21" t="str">
        <f aca="false">IF($B25="","",AVERAGE($C25:$G25))</f>
        <v/>
      </c>
      <c r="I25" s="22" t="str">
        <f aca="false">IF($B25="","",ROUND($H25,0))</f>
        <v/>
      </c>
      <c r="J25" s="17" t="str">
        <f aca="false">IF($B25="","",IF($I25&gt;=5,"Apto","No apto"))</f>
        <v/>
      </c>
    </row>
    <row r="26" customFormat="false" ht="15" hidden="false" customHeight="false" outlineLevel="0" collapsed="false">
      <c r="A26" s="14" t="str">
        <f aca="false">IF($B26="","",ROW()-4)</f>
        <v/>
      </c>
      <c r="B26" s="19" t="str">
        <f aca="false">IF('Calificación por ítem'!B26="","",'Calificación por ítem'!B26)</f>
        <v/>
      </c>
      <c r="C26" s="20"/>
      <c r="D26" s="20"/>
      <c r="E26" s="20"/>
      <c r="F26" s="20"/>
      <c r="G26" s="20"/>
      <c r="H26" s="21" t="str">
        <f aca="false">IF($B26="","",AVERAGE($C26:$G26))</f>
        <v/>
      </c>
      <c r="I26" s="22" t="str">
        <f aca="false">IF($B26="","",ROUND($H26,0))</f>
        <v/>
      </c>
      <c r="J26" s="17" t="str">
        <f aca="false">IF($B26="","",IF($I26&gt;=5,"Apto","No apto"))</f>
        <v/>
      </c>
    </row>
    <row r="27" customFormat="false" ht="15" hidden="false" customHeight="false" outlineLevel="0" collapsed="false">
      <c r="A27" s="14" t="str">
        <f aca="false">IF($B27="","",ROW()-4)</f>
        <v/>
      </c>
      <c r="B27" s="19" t="str">
        <f aca="false">IF('Calificación por ítem'!B27="","",'Calificación por ítem'!B27)</f>
        <v/>
      </c>
      <c r="C27" s="20"/>
      <c r="D27" s="20"/>
      <c r="E27" s="20"/>
      <c r="F27" s="20"/>
      <c r="G27" s="20"/>
      <c r="H27" s="21" t="str">
        <f aca="false">IF($B27="","",AVERAGE($C27:$G27))</f>
        <v/>
      </c>
      <c r="I27" s="22" t="str">
        <f aca="false">IF($B27="","",ROUND($H27,0))</f>
        <v/>
      </c>
      <c r="J27" s="17" t="str">
        <f aca="false">IF($B27="","",IF($I27&gt;=5,"Apto","No apto"))</f>
        <v/>
      </c>
    </row>
    <row r="28" customFormat="false" ht="15" hidden="false" customHeight="false" outlineLevel="0" collapsed="false">
      <c r="A28" s="14" t="str">
        <f aca="false">IF($B28="","",ROW()-4)</f>
        <v/>
      </c>
      <c r="B28" s="19" t="str">
        <f aca="false">IF('Calificación por ítem'!B28="","",'Calificación por ítem'!B28)</f>
        <v/>
      </c>
      <c r="C28" s="20"/>
      <c r="D28" s="20"/>
      <c r="E28" s="20"/>
      <c r="F28" s="20"/>
      <c r="G28" s="20"/>
      <c r="H28" s="21" t="str">
        <f aca="false">IF($B28="","",AVERAGE($C28:$G28))</f>
        <v/>
      </c>
      <c r="I28" s="22" t="str">
        <f aca="false">IF($B28="","",ROUND($H28,0))</f>
        <v/>
      </c>
      <c r="J28" s="17" t="str">
        <f aca="false">IF($B28="","",IF($I28&gt;=5,"Apto","No apto"))</f>
        <v/>
      </c>
    </row>
    <row r="29" customFormat="false" ht="15" hidden="false" customHeight="false" outlineLevel="0" collapsed="false">
      <c r="A29" s="14" t="str">
        <f aca="false">IF($B29="","",ROW()-4)</f>
        <v/>
      </c>
      <c r="B29" s="19" t="str">
        <f aca="false">IF('Calificación por ítem'!B29="","",'Calificación por ítem'!B29)</f>
        <v/>
      </c>
      <c r="C29" s="20"/>
      <c r="D29" s="20"/>
      <c r="E29" s="20"/>
      <c r="F29" s="20"/>
      <c r="G29" s="20"/>
      <c r="H29" s="21" t="str">
        <f aca="false">IF($B29="","",AVERAGE($C29:$G29))</f>
        <v/>
      </c>
      <c r="I29" s="22" t="str">
        <f aca="false">IF($B29="","",ROUND($H29,0))</f>
        <v/>
      </c>
      <c r="J29" s="17" t="str">
        <f aca="false">IF($B29="","",IF($I29&gt;=5,"Apto","No apto"))</f>
        <v/>
      </c>
    </row>
    <row r="30" customFormat="false" ht="15" hidden="false" customHeight="false" outlineLevel="0" collapsed="false">
      <c r="A30" s="14" t="str">
        <f aca="false">IF($B30="","",ROW()-4)</f>
        <v/>
      </c>
      <c r="B30" s="19" t="str">
        <f aca="false">IF('Calificación por ítem'!B30="","",'Calificación por ítem'!B30)</f>
        <v/>
      </c>
      <c r="C30" s="20"/>
      <c r="D30" s="20"/>
      <c r="E30" s="20"/>
      <c r="F30" s="20"/>
      <c r="G30" s="20"/>
      <c r="H30" s="21" t="str">
        <f aca="false">IF($B30="","",AVERAGE($C30:$G30))</f>
        <v/>
      </c>
      <c r="I30" s="22" t="str">
        <f aca="false">IF($B30="","",ROUND($H30,0))</f>
        <v/>
      </c>
      <c r="J30" s="17" t="str">
        <f aca="false">IF($B30="","",IF($I30&gt;=5,"Apto","No apto"))</f>
        <v/>
      </c>
    </row>
    <row r="31" customFormat="false" ht="15" hidden="false" customHeight="false" outlineLevel="0" collapsed="false">
      <c r="A31" s="14" t="str">
        <f aca="false">IF($B31="","",ROW()-4)</f>
        <v/>
      </c>
      <c r="B31" s="19" t="str">
        <f aca="false">IF('Calificación por ítem'!B31="","",'Calificación por ítem'!B31)</f>
        <v/>
      </c>
      <c r="C31" s="20"/>
      <c r="D31" s="20"/>
      <c r="E31" s="20"/>
      <c r="F31" s="20"/>
      <c r="G31" s="20"/>
      <c r="H31" s="21" t="str">
        <f aca="false">IF($B31="","",AVERAGE($C31:$G31))</f>
        <v/>
      </c>
      <c r="I31" s="22" t="str">
        <f aca="false">IF($B31="","",ROUND($H31,0))</f>
        <v/>
      </c>
      <c r="J31" s="17" t="str">
        <f aca="false">IF($B31="","",IF($I31&gt;=5,"Apto","No apto"))</f>
        <v/>
      </c>
    </row>
    <row r="32" customFormat="false" ht="15" hidden="false" customHeight="false" outlineLevel="0" collapsed="false">
      <c r="A32" s="14" t="str">
        <f aca="false">IF($B32="","",ROW()-4)</f>
        <v/>
      </c>
      <c r="B32" s="19" t="str">
        <f aca="false">IF('Calificación por ítem'!B32="","",'Calificación por ítem'!B32)</f>
        <v/>
      </c>
      <c r="C32" s="20"/>
      <c r="D32" s="20"/>
      <c r="E32" s="20"/>
      <c r="F32" s="20"/>
      <c r="G32" s="20"/>
      <c r="H32" s="21" t="str">
        <f aca="false">IF($B32="","",AVERAGE($C32:$G32))</f>
        <v/>
      </c>
      <c r="I32" s="22" t="str">
        <f aca="false">IF($B32="","",ROUND($H32,0))</f>
        <v/>
      </c>
      <c r="J32" s="17" t="str">
        <f aca="false">IF($B32="","",IF($I32&gt;=5,"Apto","No apto"))</f>
        <v/>
      </c>
    </row>
    <row r="33" customFormat="false" ht="15" hidden="false" customHeight="false" outlineLevel="0" collapsed="false">
      <c r="A33" s="14" t="str">
        <f aca="false">IF($B33="","",ROW()-4)</f>
        <v/>
      </c>
      <c r="B33" s="19" t="str">
        <f aca="false">IF('Calificación por ítem'!B33="","",'Calificación por ítem'!B33)</f>
        <v/>
      </c>
      <c r="C33" s="20"/>
      <c r="D33" s="20"/>
      <c r="E33" s="20"/>
      <c r="F33" s="20"/>
      <c r="G33" s="20"/>
      <c r="H33" s="21" t="str">
        <f aca="false">IF($B33="","",AVERAGE($C33:$G33))</f>
        <v/>
      </c>
      <c r="I33" s="22" t="str">
        <f aca="false">IF($B33="","",ROUND($H33,0))</f>
        <v/>
      </c>
      <c r="J33" s="17" t="str">
        <f aca="false">IF($B33="","",IF($I33&gt;=5,"Apto","No apto"))</f>
        <v/>
      </c>
    </row>
    <row r="34" customFormat="false" ht="15" hidden="false" customHeight="false" outlineLevel="0" collapsed="false">
      <c r="A34" s="14" t="str">
        <f aca="false">IF($B34="","",ROW()-4)</f>
        <v/>
      </c>
      <c r="B34" s="19" t="str">
        <f aca="false">IF('Calificación por ítem'!B34="","",'Calificación por ítem'!B34)</f>
        <v/>
      </c>
      <c r="C34" s="20"/>
      <c r="D34" s="20"/>
      <c r="E34" s="20"/>
      <c r="F34" s="20"/>
      <c r="G34" s="20"/>
      <c r="H34" s="21" t="str">
        <f aca="false">IF($B34="","",AVERAGE($C34:$G34))</f>
        <v/>
      </c>
      <c r="I34" s="22" t="str">
        <f aca="false">IF($B34="","",ROUND($H34,0))</f>
        <v/>
      </c>
      <c r="J34" s="17" t="str">
        <f aca="false">IF($B34="","",IF($I34&gt;=5,"Apto","No apto"))</f>
        <v/>
      </c>
    </row>
    <row r="35" customFormat="false" ht="15" hidden="false" customHeight="false" outlineLevel="0" collapsed="false">
      <c r="A35" s="14" t="str">
        <f aca="false">IF($B35="","",ROW()-4)</f>
        <v/>
      </c>
      <c r="B35" s="19" t="str">
        <f aca="false">IF('Calificación por ítem'!B35="","",'Calificación por ítem'!B35)</f>
        <v/>
      </c>
      <c r="C35" s="20"/>
      <c r="D35" s="20"/>
      <c r="E35" s="20"/>
      <c r="F35" s="20"/>
      <c r="G35" s="20"/>
      <c r="H35" s="21" t="str">
        <f aca="false">IF($B35="","",AVERAGE($C35:$G35))</f>
        <v/>
      </c>
      <c r="I35" s="22" t="str">
        <f aca="false">IF($B35="","",ROUND($H35,0))</f>
        <v/>
      </c>
      <c r="J35" s="17" t="str">
        <f aca="false">IF($B35="","",IF($I35&gt;=5,"Apto","No apto"))</f>
        <v/>
      </c>
    </row>
  </sheetData>
  <mergeCells count="2">
    <mergeCell ref="A1:J1"/>
    <mergeCell ref="A3:J3"/>
  </mergeCells>
  <dataValidations count="1">
    <dataValidation allowBlank="true" errorStyle="stop" operator="between" showDropDown="false" showErrorMessage="false" showInputMessage="false" sqref="C5:G35" type="decimal">
      <formula1>0</formula1>
      <formula2>10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2026-09-24T09:12:31Z</dcterms:created>
  <dc:creator>openpyxl</dc:creator>
  <dc:description/>
  <dc:language>en-US</dc:language>
  <cp:lastModifiedBy/>
  <dcterms:modified xsi:type="dcterms:W3CDTF">2026-09-24T09:12:31Z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